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stov\Downloads\"/>
    </mc:Choice>
  </mc:AlternateContent>
  <xr:revisionPtr revIDLastSave="0" documentId="13_ncr:20001_{A12959BF-23EC-437F-A295-13F3D707DFD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shboard" sheetId="1" r:id="rId1"/>
    <sheet name="Properties" sheetId="2" r:id="rId2"/>
    <sheet name="Units" sheetId="3" r:id="rId3"/>
    <sheet name="Tenants" sheetId="4" r:id="rId4"/>
    <sheet name="RentPayments" sheetId="5" r:id="rId5"/>
    <sheet name="Maintenance" sheetId="6" r:id="rId6"/>
    <sheet name="Expenses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F15" i="1"/>
  <c r="E15" i="1"/>
  <c r="F14" i="1"/>
  <c r="E14" i="1"/>
  <c r="F13" i="1"/>
  <c r="E13" i="1"/>
  <c r="F12" i="1"/>
  <c r="E12" i="1"/>
  <c r="B12" i="1"/>
  <c r="F11" i="1"/>
  <c r="E11" i="1"/>
  <c r="B11" i="1"/>
  <c r="F10" i="1"/>
  <c r="E10" i="1"/>
  <c r="F9" i="1"/>
  <c r="E9" i="1"/>
  <c r="B9" i="1"/>
  <c r="F8" i="1"/>
  <c r="E8" i="1"/>
  <c r="B8" i="1"/>
  <c r="F7" i="1"/>
  <c r="E7" i="1"/>
  <c r="F6" i="1"/>
  <c r="E6" i="1"/>
  <c r="B6" i="1"/>
  <c r="B7" i="1" s="1"/>
  <c r="B5" i="1"/>
  <c r="G16" i="1" l="1"/>
  <c r="G14" i="1"/>
  <c r="G15" i="1"/>
  <c r="G7" i="1"/>
  <c r="G10" i="1"/>
  <c r="G13" i="1"/>
  <c r="G11" i="1"/>
  <c r="G6" i="1"/>
  <c r="G9" i="1"/>
  <c r="G12" i="1"/>
  <c r="G8" i="1"/>
  <c r="B13" i="1"/>
  <c r="B10" i="1"/>
</calcChain>
</file>

<file path=xl/sharedStrings.xml><?xml version="1.0" encoding="utf-8"?>
<sst xmlns="http://schemas.openxmlformats.org/spreadsheetml/2006/main" count="1429" uniqueCount="411">
  <si>
    <t>Rental Property Dashboard (Sample Data)</t>
  </si>
  <si>
    <t>PropertyList</t>
  </si>
  <si>
    <t>All</t>
  </si>
  <si>
    <t>Property Filter:</t>
  </si>
  <si>
    <t>P001</t>
  </si>
  <si>
    <t>Monthly Summary (2025)</t>
  </si>
  <si>
    <t>P002</t>
  </si>
  <si>
    <t>Total Units</t>
  </si>
  <si>
    <t>Month</t>
  </si>
  <si>
    <t>Rent Due</t>
  </si>
  <si>
    <t>Rent Collected</t>
  </si>
  <si>
    <t>Outstanding</t>
  </si>
  <si>
    <t>On-time %</t>
  </si>
  <si>
    <t>P003</t>
  </si>
  <si>
    <t>Occupied Units</t>
  </si>
  <si>
    <t>Occupancy Rate</t>
  </si>
  <si>
    <t>Rent Due (2025)</t>
  </si>
  <si>
    <t>Rent Collected (2025)</t>
  </si>
  <si>
    <t>Outstanding Rent</t>
  </si>
  <si>
    <t>Maintenance Cost (2025)</t>
  </si>
  <si>
    <t>Other Expenses (2025)</t>
  </si>
  <si>
    <t>Net Income (simple)</t>
  </si>
  <si>
    <t>PropertyID</t>
  </si>
  <si>
    <t>PropertyName</t>
  </si>
  <si>
    <t>Address</t>
  </si>
  <si>
    <t>City</t>
  </si>
  <si>
    <t>State</t>
  </si>
  <si>
    <t>Zip</t>
  </si>
  <si>
    <t>UnitCount</t>
  </si>
  <si>
    <t>Maple Apartments</t>
  </si>
  <si>
    <t>123 Maple St</t>
  </si>
  <si>
    <t>Springfield</t>
  </si>
  <si>
    <t>IL</t>
  </si>
  <si>
    <t>62701</t>
  </si>
  <si>
    <t>Riverbend Duplexes</t>
  </si>
  <si>
    <t>88 River Rd</t>
  </si>
  <si>
    <t>62704</t>
  </si>
  <si>
    <t>Pine View Homes</t>
  </si>
  <si>
    <t>410 Pine Ave</t>
  </si>
  <si>
    <t>62711</t>
  </si>
  <si>
    <t>UnitID</t>
  </si>
  <si>
    <t>UnitNumber</t>
  </si>
  <si>
    <t>UnitType</t>
  </si>
  <si>
    <t>Bedrooms</t>
  </si>
  <si>
    <t>Bathrooms</t>
  </si>
  <si>
    <t>SquareFeet</t>
  </si>
  <si>
    <t>MarketRent</t>
  </si>
  <si>
    <t>Status</t>
  </si>
  <si>
    <t>U001</t>
  </si>
  <si>
    <t>1</t>
  </si>
  <si>
    <t>Apartment</t>
  </si>
  <si>
    <t>Vacant</t>
  </si>
  <si>
    <t>U002</t>
  </si>
  <si>
    <t>2</t>
  </si>
  <si>
    <t>Occupied</t>
  </si>
  <si>
    <t>U003</t>
  </si>
  <si>
    <t>3</t>
  </si>
  <si>
    <t>U004</t>
  </si>
  <si>
    <t>4</t>
  </si>
  <si>
    <t>U005</t>
  </si>
  <si>
    <t>5</t>
  </si>
  <si>
    <t>U006</t>
  </si>
  <si>
    <t>6</t>
  </si>
  <si>
    <t>U007</t>
  </si>
  <si>
    <t>A</t>
  </si>
  <si>
    <t>Duplex</t>
  </si>
  <si>
    <t>U008</t>
  </si>
  <si>
    <t>B</t>
  </si>
  <si>
    <t>U009</t>
  </si>
  <si>
    <t>C</t>
  </si>
  <si>
    <t>U010</t>
  </si>
  <si>
    <t>D</t>
  </si>
  <si>
    <t>U011</t>
  </si>
  <si>
    <t>E</t>
  </si>
  <si>
    <t>U012</t>
  </si>
  <si>
    <t>F</t>
  </si>
  <si>
    <t>U013</t>
  </si>
  <si>
    <t>Single-family</t>
  </si>
  <si>
    <t>U014</t>
  </si>
  <si>
    <t>U015</t>
  </si>
  <si>
    <t>U016</t>
  </si>
  <si>
    <t>U017</t>
  </si>
  <si>
    <t>U018</t>
  </si>
  <si>
    <t>TenantID</t>
  </si>
  <si>
    <t>TenantName</t>
  </si>
  <si>
    <t>LeaseStart</t>
  </si>
  <si>
    <t>LeaseEnd</t>
  </si>
  <si>
    <t>RentDueDay</t>
  </si>
  <si>
    <t>MonthlyRent</t>
  </si>
  <si>
    <t>SecurityDeposit</t>
  </si>
  <si>
    <t>TenantStatus</t>
  </si>
  <si>
    <t>T001</t>
  </si>
  <si>
    <t>Quinn Garcia</t>
  </si>
  <si>
    <t>Active</t>
  </si>
  <si>
    <t>T002</t>
  </si>
  <si>
    <t>Finley Lee</t>
  </si>
  <si>
    <t>T003</t>
  </si>
  <si>
    <t>Alex Lee</t>
  </si>
  <si>
    <t>T004</t>
  </si>
  <si>
    <t>Alex Hall</t>
  </si>
  <si>
    <t>T005</t>
  </si>
  <si>
    <t>Finley Harris</t>
  </si>
  <si>
    <t>T006</t>
  </si>
  <si>
    <t>Avery Smith</t>
  </si>
  <si>
    <t>T007</t>
  </si>
  <si>
    <t>Skyler Anderson</t>
  </si>
  <si>
    <t>T008</t>
  </si>
  <si>
    <t>Drew Patel</t>
  </si>
  <si>
    <t>T009</t>
  </si>
  <si>
    <t>Hayden Thomas</t>
  </si>
  <si>
    <t>T010</t>
  </si>
  <si>
    <t>Emerson Hall</t>
  </si>
  <si>
    <t>T011</t>
  </si>
  <si>
    <t>Finley Martinez</t>
  </si>
  <si>
    <t>T012</t>
  </si>
  <si>
    <t>Hayden Davis</t>
  </si>
  <si>
    <t>T013</t>
  </si>
  <si>
    <t>Quinn Martinez</t>
  </si>
  <si>
    <t>T014</t>
  </si>
  <si>
    <t>Reese Wilson</t>
  </si>
  <si>
    <t>PaymentID</t>
  </si>
  <si>
    <t>DueDate</t>
  </si>
  <si>
    <t>PaymentDate</t>
  </si>
  <si>
    <t>AmountDue</t>
  </si>
  <si>
    <t>AmountPaid</t>
  </si>
  <si>
    <t>PaymentStatus</t>
  </si>
  <si>
    <t>PM0001</t>
  </si>
  <si>
    <t>On Time</t>
  </si>
  <si>
    <t>PM0002</t>
  </si>
  <si>
    <t>PM0003</t>
  </si>
  <si>
    <t>PM0004</t>
  </si>
  <si>
    <t>Late</t>
  </si>
  <si>
    <t>PM0005</t>
  </si>
  <si>
    <t>PM0006</t>
  </si>
  <si>
    <t>PM0007</t>
  </si>
  <si>
    <t>PM0008</t>
  </si>
  <si>
    <t>PM0009</t>
  </si>
  <si>
    <t>PM0010</t>
  </si>
  <si>
    <t>PM0011</t>
  </si>
  <si>
    <t>PM0012</t>
  </si>
  <si>
    <t>PM0013</t>
  </si>
  <si>
    <t>PM0014</t>
  </si>
  <si>
    <t>PM0015</t>
  </si>
  <si>
    <t>PM0016</t>
  </si>
  <si>
    <t>PM0017</t>
  </si>
  <si>
    <t>PM0018</t>
  </si>
  <si>
    <t>PM0019</t>
  </si>
  <si>
    <t>PM0020</t>
  </si>
  <si>
    <t>PM0021</t>
  </si>
  <si>
    <t>PM0022</t>
  </si>
  <si>
    <t>PM0023</t>
  </si>
  <si>
    <t>PM0024</t>
  </si>
  <si>
    <t>Partial</t>
  </si>
  <si>
    <t>PM0025</t>
  </si>
  <si>
    <t>PM0026</t>
  </si>
  <si>
    <t>PM0027</t>
  </si>
  <si>
    <t>PM0028</t>
  </si>
  <si>
    <t>PM0029</t>
  </si>
  <si>
    <t>PM0030</t>
  </si>
  <si>
    <t>PM0031</t>
  </si>
  <si>
    <t>PM0032</t>
  </si>
  <si>
    <t>PM0033</t>
  </si>
  <si>
    <t>PM0034</t>
  </si>
  <si>
    <t>PM0035</t>
  </si>
  <si>
    <t>PM0036</t>
  </si>
  <si>
    <t>PM0037</t>
  </si>
  <si>
    <t>PM0038</t>
  </si>
  <si>
    <t>PM0039</t>
  </si>
  <si>
    <t>PM0040</t>
  </si>
  <si>
    <t>PM0041</t>
  </si>
  <si>
    <t>PM0042</t>
  </si>
  <si>
    <t>Unpaid</t>
  </si>
  <si>
    <t>PM0043</t>
  </si>
  <si>
    <t>PM0044</t>
  </si>
  <si>
    <t>PM0045</t>
  </si>
  <si>
    <t>PM0046</t>
  </si>
  <si>
    <t>PM0047</t>
  </si>
  <si>
    <t>PM0048</t>
  </si>
  <si>
    <t>PM0049</t>
  </si>
  <si>
    <t>PM0050</t>
  </si>
  <si>
    <t>PM0051</t>
  </si>
  <si>
    <t>PM0052</t>
  </si>
  <si>
    <t>PM0053</t>
  </si>
  <si>
    <t>PM0054</t>
  </si>
  <si>
    <t>PM0055</t>
  </si>
  <si>
    <t>PM0056</t>
  </si>
  <si>
    <t>PM0057</t>
  </si>
  <si>
    <t>PM0058</t>
  </si>
  <si>
    <t>PM0059</t>
  </si>
  <si>
    <t>PM0060</t>
  </si>
  <si>
    <t>PM0061</t>
  </si>
  <si>
    <t>PM0062</t>
  </si>
  <si>
    <t>PM0063</t>
  </si>
  <si>
    <t>PM0064</t>
  </si>
  <si>
    <t>PM0065</t>
  </si>
  <si>
    <t>PM0066</t>
  </si>
  <si>
    <t>PM0067</t>
  </si>
  <si>
    <t>PM0068</t>
  </si>
  <si>
    <t>PM0069</t>
  </si>
  <si>
    <t>PM0070</t>
  </si>
  <si>
    <t>PM0071</t>
  </si>
  <si>
    <t>PM0072</t>
  </si>
  <si>
    <t>PM0073</t>
  </si>
  <si>
    <t>PM0074</t>
  </si>
  <si>
    <t>PM0075</t>
  </si>
  <si>
    <t>PM0076</t>
  </si>
  <si>
    <t>PM0077</t>
  </si>
  <si>
    <t>PM0078</t>
  </si>
  <si>
    <t>PM0079</t>
  </si>
  <si>
    <t>PM0080</t>
  </si>
  <si>
    <t>PM0081</t>
  </si>
  <si>
    <t>PM0082</t>
  </si>
  <si>
    <t>PM0083</t>
  </si>
  <si>
    <t>PM0084</t>
  </si>
  <si>
    <t>PM0085</t>
  </si>
  <si>
    <t>PM0086</t>
  </si>
  <si>
    <t>PM0087</t>
  </si>
  <si>
    <t>PM0088</t>
  </si>
  <si>
    <t>PM0089</t>
  </si>
  <si>
    <t>PM0090</t>
  </si>
  <si>
    <t>PM0091</t>
  </si>
  <si>
    <t>PM0092</t>
  </si>
  <si>
    <t>PM0093</t>
  </si>
  <si>
    <t>PM0094</t>
  </si>
  <si>
    <t>PM0095</t>
  </si>
  <si>
    <t>PM0096</t>
  </si>
  <si>
    <t>PM0097</t>
  </si>
  <si>
    <t>PM0098</t>
  </si>
  <si>
    <t>PM0099</t>
  </si>
  <si>
    <t>PM0100</t>
  </si>
  <si>
    <t>PM0101</t>
  </si>
  <si>
    <t>PM0102</t>
  </si>
  <si>
    <t>PM0103</t>
  </si>
  <si>
    <t>PM0104</t>
  </si>
  <si>
    <t>PM0105</t>
  </si>
  <si>
    <t>PM0106</t>
  </si>
  <si>
    <t>PM0107</t>
  </si>
  <si>
    <t>PM0108</t>
  </si>
  <si>
    <t>PM0109</t>
  </si>
  <si>
    <t>PM0110</t>
  </si>
  <si>
    <t>PM0111</t>
  </si>
  <si>
    <t>PM0112</t>
  </si>
  <si>
    <t>PM0113</t>
  </si>
  <si>
    <t>PM0114</t>
  </si>
  <si>
    <t>PM0115</t>
  </si>
  <si>
    <t>PM0116</t>
  </si>
  <si>
    <t>PM0117</t>
  </si>
  <si>
    <t>PM0118</t>
  </si>
  <si>
    <t>PM0119</t>
  </si>
  <si>
    <t>PM0120</t>
  </si>
  <si>
    <t>PM0121</t>
  </si>
  <si>
    <t>PM0122</t>
  </si>
  <si>
    <t>MaintenanceID</t>
  </si>
  <si>
    <t>RequestDate</t>
  </si>
  <si>
    <t>Category</t>
  </si>
  <si>
    <t>Description</t>
  </si>
  <si>
    <t>Vendor</t>
  </si>
  <si>
    <t>Cost</t>
  </si>
  <si>
    <t>M0001</t>
  </si>
  <si>
    <t>General</t>
  </si>
  <si>
    <t>General service request</t>
  </si>
  <si>
    <t>Appliance Rescue</t>
  </si>
  <si>
    <t>Completed</t>
  </si>
  <si>
    <t>M0002</t>
  </si>
  <si>
    <t>Plumbing</t>
  </si>
  <si>
    <t>Plumbing service request</t>
  </si>
  <si>
    <t>M0003</t>
  </si>
  <si>
    <t>CoolAir HVAC</t>
  </si>
  <si>
    <t>M0004</t>
  </si>
  <si>
    <t>Electrical</t>
  </si>
  <si>
    <t>Electrical service request</t>
  </si>
  <si>
    <t>HandyPro</t>
  </si>
  <si>
    <t>M0005</t>
  </si>
  <si>
    <t>Appliance</t>
  </si>
  <si>
    <t>Appliance service request</t>
  </si>
  <si>
    <t>M0006</t>
  </si>
  <si>
    <t>PestAway</t>
  </si>
  <si>
    <t>M0007</t>
  </si>
  <si>
    <t>In Progress</t>
  </si>
  <si>
    <t>M0008</t>
  </si>
  <si>
    <t>M0009</t>
  </si>
  <si>
    <t>Spark Electric</t>
  </si>
  <si>
    <t>M0010</t>
  </si>
  <si>
    <t>Ace Plumbing</t>
  </si>
  <si>
    <t>Open</t>
  </si>
  <si>
    <t>M0011</t>
  </si>
  <si>
    <t>HVAC</t>
  </si>
  <si>
    <t>HVAC service request</t>
  </si>
  <si>
    <t>M0012</t>
  </si>
  <si>
    <t>M0013</t>
  </si>
  <si>
    <t>M0014</t>
  </si>
  <si>
    <t>M0015</t>
  </si>
  <si>
    <t>Pest Control</t>
  </si>
  <si>
    <t>Pest Control service request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</si>
  <si>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</si>
  <si>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</si>
  <si>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</si>
  <si>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</si>
  <si>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</si>
  <si>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</si>
  <si>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</si>
  <si>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</si>
  <si>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</si>
  <si>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</si>
  <si>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</si>
  <si>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</si>
  <si>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</si>
  <si>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</si>
  <si>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</si>
  <si>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</si>
  <si>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</si>
  <si>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</si>
  <si>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</si>
  <si>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</si>
  <si>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</si>
  <si>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</si>
  <si>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</si>
  <si>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</si>
  <si>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</si>
  <si>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ExpenseID</t>
  </si>
  <si>
    <t>ExpenseDate</t>
  </si>
  <si>
    <t>ExpenseType</t>
  </si>
  <si>
    <t>Amount</t>
  </si>
  <si>
    <t>Notes</t>
  </si>
  <si>
    <t>E0001</t>
  </si>
  <si>
    <t>HOA</t>
  </si>
  <si>
    <t>HOA expense</t>
  </si>
  <si>
    <t>E0002</t>
  </si>
  <si>
    <t>Utilities</t>
  </si>
  <si>
    <t>Utilities expense</t>
  </si>
  <si>
    <t>E0003</t>
  </si>
  <si>
    <t>Landscaping</t>
  </si>
  <si>
    <t>Landscaping expense</t>
  </si>
  <si>
    <t>E0004</t>
  </si>
  <si>
    <t>Property Tax</t>
  </si>
  <si>
    <t>Property Tax expense</t>
  </si>
  <si>
    <t>E0005</t>
  </si>
  <si>
    <t>Supplies</t>
  </si>
  <si>
    <t>Supplies expense</t>
  </si>
  <si>
    <t>E0006</t>
  </si>
  <si>
    <t>Advertising</t>
  </si>
  <si>
    <t>Advertising expense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</si>
  <si>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</si>
  <si>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</si>
  <si>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</si>
  <si>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</si>
  <si>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</si>
  <si>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</si>
  <si>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</si>
  <si>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</si>
  <si>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</si>
  <si>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</si>
  <si>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</si>
  <si>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</si>
  <si>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</si>
  <si>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Insurance</t>
  </si>
  <si>
    <t>Insurance expense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</si>
  <si>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</si>
  <si>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</si>
  <si>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</si>
  <si>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</si>
  <si>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</si>
  <si>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</si>
  <si>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</si>
  <si>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</si>
  <si>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</si>
  <si>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</si>
  <si>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</si>
  <si>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</si>
  <si>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</si>
  <si>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</si>
  <si>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</si>
  <si>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</si>
  <si>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</si>
  <si>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</si>
  <si>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</si>
  <si>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</si>
  <si>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</si>
  <si>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</si>
  <si>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</si>
  <si>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</si>
  <si>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</si>
  <si>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</si>
  <si>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</si>
  <si>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</si>
  <si>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</si>
  <si>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</si>
  <si>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</si>
  <si>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</si>
  <si>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</si>
  <si>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</si>
  <si>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</si>
  <si>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</si>
  <si>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</si>
  <si>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</si>
  <si>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</si>
  <si>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</si>
  <si>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</si>
  <si>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</si>
  <si>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</si>
  <si>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</si>
  <si>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</si>
  <si>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</si>
  <si>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</si>
  <si>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</si>
  <si>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</si>
  <si>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</si>
  <si>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</si>
  <si>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</si>
  <si>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</si>
  <si>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 xml:space="preserve">P003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</si>
</sst>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\$#,##0"/>
    <numFmt numFmtId="166" formatCode="yyyy\-mm\-dd"/>
    <numFmt numFmtId="167" formatCode="\$#,##0.00"/>
    <numFmt numFmtId="168" formatCode="0.0%"/>
    <numFmt numFmtId="169" formatCode="mmm\ yyyy"/>
  </numFmts>
  <fonts count="6">
    <font>
      <sz val="11"/>
      <name val="Carlito"/>
    </font>
    <font>
      <b/>
      <sz val="11"/>
      <name val="Carlito"/>
    </font>
    <font>
      <b/>
      <sz val="11"/>
      <color rgb="FF1F2937"/>
      <name val="Carlito"/>
    </font>
    <font>
      <b/>
      <sz val="16"/>
      <name val="Carlito"/>
    </font>
    <font>
      <sz val="11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0" fontId="0" fillId="0" borderId="4" xfId="0" applyBorder="1"/>
    <xf numFmtId="0" fontId="1" fillId="0" borderId="5" xfId="0" applyFont="1" applyBorder="1"/>
    <xf numFmtId="0" fontId="1" fillId="0" borderId="7" xfId="0" applyFont="1" applyBorder="1"/>
    <xf numFmtId="0" fontId="1" fillId="0" borderId="9" xfId="0" applyFont="1" applyBorder="1"/>
    <xf numFmtId="168" fontId="0" fillId="0" borderId="8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" fontId="0" fillId="0" borderId="6" xfId="0" applyNumberFormat="1" applyBorder="1" applyAlignment="1">
      <alignment horizontal="right"/>
    </xf>
    <xf numFmtId="1" fontId="0" fillId="0" borderId="8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11" xfId="0" applyNumberFormat="1" applyBorder="1" applyAlignment="1">
      <alignment horizontal="right"/>
    </xf>
    <xf numFmtId="168" fontId="0" fillId="0" borderId="10" xfId="0" applyNumberFormat="1" applyBorder="1" applyAlignment="1">
      <alignment horizontal="right"/>
    </xf>
    <xf numFmtId="169" fontId="0" fillId="0" borderId="7" xfId="0" applyNumberFormat="1" applyBorder="1" applyAlignment="1">
      <alignment horizontal="left"/>
    </xf>
    <xf numFmtId="169" fontId="0" fillId="0" borderId="9" xfId="0" applyNumberForma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167" fontId="5" fillId="2" borderId="2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A15" sqref="A15:XFD15"/>
    </sheetView>
  </sheetViews>
  <sheetFormatPr defaultRowHeight="13.8"/>
  <cols>
    <col min="1" max="1" width="24" customWidth="1"/>
    <col min="2" max="2" width="18" customWidth="1"/>
    <col min="4" max="4" width="14" customWidth="1"/>
    <col min="5" max="8" width="16" customWidth="1"/>
    <col min="10" max="10" width="2" customWidth="1"/>
  </cols>
  <sheetData>
    <row r="1" spans="1:10" ht="22.35" customHeight="1">
      <c r="A1" s="33" t="s">
        <v>0</v>
      </c>
      <c r="B1" s="34"/>
      <c r="C1" s="34"/>
      <c r="D1" s="34"/>
      <c r="E1" s="34"/>
      <c r="F1" s="34"/>
      <c r="G1" s="34"/>
      <c r="H1" s="35"/>
      <c r="J1" s="10" t="s">
        <v>1</v>
      </c>
    </row>
    <row r="2" spans="1:10">
      <c r="J2" s="10" t="s">
        <v>2</v>
      </c>
    </row>
    <row r="3" spans="1:10">
      <c r="A3" s="1" t="s">
        <v>3</v>
      </c>
      <c r="B3" s="11" t="s">
        <v>2</v>
      </c>
      <c r="J3" s="10" t="s">
        <v>4</v>
      </c>
    </row>
    <row r="4" spans="1:10">
      <c r="D4" s="36" t="s">
        <v>5</v>
      </c>
      <c r="E4" s="36"/>
      <c r="F4" s="36"/>
      <c r="G4" s="36"/>
      <c r="H4" s="36"/>
      <c r="J4" s="10" t="s">
        <v>6</v>
      </c>
    </row>
    <row r="5" spans="1:10">
      <c r="A5" s="12" t="s">
        <v>7</v>
      </c>
      <c r="B5" s="18">
        <f>IF($B$3="All",COUNTA(Units!$A$2:$A$1000),COUNTIF(Units!$B:$B,$B$3))</f>
        <v>18</v>
      </c>
      <c r="D5" s="2" t="s">
        <v>8</v>
      </c>
      <c r="E5" s="3" t="s">
        <v>9</v>
      </c>
      <c r="F5" s="3" t="s">
        <v>10</v>
      </c>
      <c r="G5" s="3" t="s">
        <v>11</v>
      </c>
      <c r="H5" s="4" t="s">
        <v>12</v>
      </c>
      <c r="J5" s="10" t="s">
        <v>13</v>
      </c>
    </row>
    <row r="6" spans="1:10">
      <c r="A6" s="13" t="s">
        <v>14</v>
      </c>
      <c r="B6" s="19">
        <f>IF($B$3="All",COUNTIF(Units!$I:$I,"Occupied"),COUNTIFS(Units!$B:$B,$B$3,Units!$I:$I,"Occupied"))</f>
        <v>14</v>
      </c>
      <c r="D6" s="23">
        <v>45658</v>
      </c>
      <c r="E6" s="20">
        <f>IF($B$3="All",SUMIFS(RentPayments!$G:$G,RentPayments!$E:$E,"&gt;="&amp;DATE(2025,1,1),RentPayments!$E:$E,"&lt;="&amp;EOMONTH(DATE(2025,1,1),0)),SUMIFS(RentPayments!$G:$G,RentPayments!$D:$D,$B$3,RentPayments!$E:$E,"&gt;="&amp;DATE(2025,1,1),RentPayments!$E:$E,"&lt;="&amp;EOMONTH(DATE(2025,1,1),0)))</f>
        <v>16150</v>
      </c>
      <c r="F6" s="20">
        <f>IF($B$3="All",SUMIFS(RentPayments!$H:$H,RentPayments!$E:$E,"&gt;="&amp;DATE(2025,1,1),RentPayments!$E:$E,"&lt;="&amp;EOMONTH(DATE(2025,1,1),0)),SUMIFS(RentPayments!$H:$H,RentPayments!$D:$D,$B$3,RentPayments!$E:$E,"&gt;="&amp;DATE(2025,1,1),RentPayments!$E:$E,"&lt;="&amp;EOMONTH(DATE(2025,1,1),0)))</f>
        <v>16150</v>
      </c>
      <c r="G6" s="20">
        <f t="shared" ref="G6:G16" si="0">E6-F6</f>
        <v>0</v>
      </c>
      <c r="H6" s="15">
        <v>0.4285714351851852</v>
      </c>
    </row>
    <row r="7" spans="1:10">
      <c r="A7" s="13" t="s">
        <v>15</v>
      </c>
      <c r="B7" s="15">
        <f>IFERROR(B6/B5,0)</f>
        <v>0.77777777777777779</v>
      </c>
      <c r="D7" s="23">
        <v>45689</v>
      </c>
      <c r="E7" s="20">
        <f>IF($B$3="All",SUMIFS(RentPayments!$G:$G,RentPayments!$E:$E,"&gt;="&amp;DATE(2025,2,1),RentPayments!$E:$E,"&lt;="&amp;EOMONTH(DATE(2025,2,1),0)),SUMIFS(RentPayments!$G:$G,RentPayments!$D:$D,$B$3,RentPayments!$E:$E,"&gt;="&amp;DATE(2025,2,1),RentPayments!$E:$E,"&lt;="&amp;EOMONTH(DATE(2025,2,1),0)))</f>
        <v>16150</v>
      </c>
      <c r="F7" s="20">
        <f>IF($B$3="All",SUMIFS(RentPayments!$H:$H,RentPayments!$E:$E,"&gt;="&amp;DATE(2025,2,1),RentPayments!$E:$E,"&lt;="&amp;EOMONTH(DATE(2025,2,1),0)),SUMIFS(RentPayments!$H:$H,RentPayments!$D:$D,$B$3,RentPayments!$E:$E,"&gt;="&amp;DATE(2025,2,1),RentPayments!$E:$E,"&lt;="&amp;EOMONTH(DATE(2025,2,1),0)))</f>
        <v>15762.5</v>
      </c>
      <c r="G7" s="20">
        <f t="shared" si="0"/>
        <v>387.5</v>
      </c>
      <c r="H7" s="15">
        <v>0.5</v>
      </c>
    </row>
    <row r="8" spans="1:10">
      <c r="A8" s="13" t="s">
        <v>16</v>
      </c>
      <c r="B8" s="16">
        <f>IF($B$3="All",SUM(RentPayments!$G:$G),SUMIF(RentPayments!$D:$D,$B$3,RentPayments!$G:$G))</f>
        <v>138850</v>
      </c>
      <c r="D8" s="23">
        <v>45717</v>
      </c>
      <c r="E8" s="20">
        <f>IF($B$3="All",SUMIFS(RentPayments!$G:$G,RentPayments!$E:$E,"&gt;="&amp;DATE(2025,3,1),RentPayments!$E:$E,"&lt;="&amp;EOMONTH(DATE(2025,3,1),0)),SUMIFS(RentPayments!$G:$G,RentPayments!$D:$D,$B$3,RentPayments!$E:$E,"&gt;="&amp;DATE(2025,3,1),RentPayments!$E:$E,"&lt;="&amp;EOMONTH(DATE(2025,3,1),0)))</f>
        <v>16150</v>
      </c>
      <c r="F8" s="20">
        <f>IF($B$3="All",SUMIFS(RentPayments!$H:$H,RentPayments!$E:$E,"&gt;="&amp;DATE(2025,3,1),RentPayments!$E:$E,"&lt;="&amp;EOMONTH(DATE(2025,3,1),0)),SUMIFS(RentPayments!$H:$H,RentPayments!$D:$D,$B$3,RentPayments!$E:$E,"&gt;="&amp;DATE(2025,3,1),RentPayments!$E:$E,"&lt;="&amp;EOMONTH(DATE(2025,3,1),0)))</f>
        <v>15862.5</v>
      </c>
      <c r="G8" s="20">
        <f t="shared" si="0"/>
        <v>287.5</v>
      </c>
      <c r="H8" s="15">
        <v>0.35714285879629631</v>
      </c>
    </row>
    <row r="9" spans="1:10">
      <c r="A9" s="13" t="s">
        <v>17</v>
      </c>
      <c r="B9" s="16">
        <f>IF($B$3="All",SUM(RentPayments!$H:$H),SUMIF(RentPayments!$D:$D,$B$3,RentPayments!$H:$H))</f>
        <v>133987.5</v>
      </c>
      <c r="D9" s="23">
        <v>45748</v>
      </c>
      <c r="E9" s="20">
        <f>IF($B$3="All",SUMIFS(RentPayments!$G:$G,RentPayments!$E:$E,"&gt;="&amp;DATE(2025,4,1),RentPayments!$E:$E,"&lt;="&amp;EOMONTH(DATE(2025,4,1),0)),SUMIFS(RentPayments!$G:$G,RentPayments!$D:$D,$B$3,RentPayments!$E:$E,"&gt;="&amp;DATE(2025,4,1),RentPayments!$E:$E,"&lt;="&amp;EOMONTH(DATE(2025,4,1),0)))</f>
        <v>16150</v>
      </c>
      <c r="F9" s="20">
        <f>IF($B$3="All",SUMIFS(RentPayments!$H:$H,RentPayments!$E:$E,"&gt;="&amp;DATE(2025,4,1),RentPayments!$E:$E,"&lt;="&amp;EOMONTH(DATE(2025,4,1),0)),SUMIFS(RentPayments!$H:$H,RentPayments!$D:$D,$B$3,RentPayments!$E:$E,"&gt;="&amp;DATE(2025,4,1),RentPayments!$E:$E,"&lt;="&amp;EOMONTH(DATE(2025,4,1),0)))</f>
        <v>16150</v>
      </c>
      <c r="G9" s="20">
        <f t="shared" si="0"/>
        <v>0</v>
      </c>
      <c r="H9" s="15">
        <v>0.4285714351851852</v>
      </c>
    </row>
    <row r="10" spans="1:10">
      <c r="A10" s="13" t="s">
        <v>18</v>
      </c>
      <c r="B10" s="16" t="str">
        <f ca="1">B9-B10</f>
        <v/>
      </c>
      <c r="D10" s="23">
        <v>45778</v>
      </c>
      <c r="E10" s="20">
        <f>IF($B$3="All",SUMIFS(RentPayments!$G:$G,RentPayments!$E:$E,"&gt;="&amp;DATE(2025,5,1),RentPayments!$E:$E,"&lt;="&amp;EOMONTH(DATE(2025,5,1),0)),SUMIFS(RentPayments!$G:$G,RentPayments!$D:$D,$B$3,RentPayments!$E:$E,"&gt;="&amp;DATE(2025,5,1),RentPayments!$E:$E,"&lt;="&amp;EOMONTH(DATE(2025,5,1),0)))</f>
        <v>16150</v>
      </c>
      <c r="F10" s="20">
        <f>IF($B$3="All",SUMIFS(RentPayments!$H:$H,RentPayments!$E:$E,"&gt;="&amp;DATE(2025,5,1),RentPayments!$E:$E,"&lt;="&amp;EOMONTH(DATE(2025,5,1),0)),SUMIFS(RentPayments!$H:$H,RentPayments!$D:$D,$B$3,RentPayments!$E:$E,"&gt;="&amp;DATE(2025,5,1),RentPayments!$E:$E,"&lt;="&amp;EOMONTH(DATE(2025,5,1),0)))</f>
        <v>14587.5</v>
      </c>
      <c r="G10" s="20">
        <f t="shared" si="0"/>
        <v>1562.5</v>
      </c>
      <c r="H10" s="15">
        <v>0.28571429398148146</v>
      </c>
    </row>
    <row r="11" spans="1:10">
      <c r="A11" s="13" t="s">
        <v>19</v>
      </c>
      <c r="B11" s="16">
        <f>IF($B$3="All",SUM(Maintenance!$H:$H),SUMIF(Maintenance!$B:$B,$B$3,Maintenance!$H:$H))</f>
        <v>15374.549999999996</v>
      </c>
      <c r="D11" s="23">
        <v>45809</v>
      </c>
      <c r="E11" s="20">
        <f>IF($B$3="All",SUMIFS(RentPayments!$G:$G,RentPayments!$E:$E,"&gt;="&amp;DATE(2025,6,1),RentPayments!$E:$E,"&lt;="&amp;EOMONTH(DATE(2025,6,1),0)),SUMIFS(RentPayments!$G:$G,RentPayments!$D:$D,$B$3,RentPayments!$E:$E,"&gt;="&amp;DATE(2025,6,1),RentPayments!$E:$E,"&lt;="&amp;EOMONTH(DATE(2025,6,1),0)))</f>
        <v>16150</v>
      </c>
      <c r="F11" s="20">
        <f>IF($B$3="All",SUMIFS(RentPayments!$H:$H,RentPayments!$E:$E,"&gt;="&amp;DATE(2025,6,1),RentPayments!$E:$E,"&lt;="&amp;EOMONTH(DATE(2025,6,1),0)),SUMIFS(RentPayments!$H:$H,RentPayments!$D:$D,$B$3,RentPayments!$E:$E,"&gt;="&amp;DATE(2025,6,1),RentPayments!$E:$E,"&lt;="&amp;EOMONTH(DATE(2025,6,1),0)))</f>
        <v>16150</v>
      </c>
      <c r="G11" s="20">
        <f t="shared" si="0"/>
        <v>0</v>
      </c>
      <c r="H11" s="15">
        <v>0.4285714351851852</v>
      </c>
    </row>
    <row r="12" spans="1:10">
      <c r="A12" s="13" t="s">
        <v>20</v>
      </c>
      <c r="B12" s="16">
        <f>IF($B$3="All",SUM(Expenses!$E:$E),SUMIF(Expenses!$B:$B,$B$3,Expenses!$E:$E))</f>
        <v>33706.119999999995</v>
      </c>
      <c r="D12" s="23">
        <v>45839</v>
      </c>
      <c r="E12" s="20">
        <f>IF($B$3="All",SUMIFS(RentPayments!$G:$G,RentPayments!$E:$E,"&gt;="&amp;DATE(2025,7,1),RentPayments!$E:$E,"&lt;="&amp;EOMONTH(DATE(2025,7,1),0)),SUMIFS(RentPayments!$G:$G,RentPayments!$D:$D,$B$3,RentPayments!$E:$E,"&gt;="&amp;DATE(2025,7,1),RentPayments!$E:$E,"&lt;="&amp;EOMONTH(DATE(2025,7,1),0)))</f>
        <v>12700</v>
      </c>
      <c r="F12" s="20">
        <f>IF($B$3="All",SUMIFS(RentPayments!$H:$H,RentPayments!$E:$E,"&gt;="&amp;DATE(2025,7,1),RentPayments!$E:$E,"&lt;="&amp;EOMONTH(DATE(2025,7,1),0)),SUMIFS(RentPayments!$H:$H,RentPayments!$D:$D,$B$3,RentPayments!$E:$E,"&gt;="&amp;DATE(2025,7,1),RentPayments!$E:$E,"&lt;="&amp;EOMONTH(DATE(2025,7,1),0)))</f>
        <v>10600</v>
      </c>
      <c r="G12" s="20">
        <f t="shared" si="0"/>
        <v>2100</v>
      </c>
      <c r="H12" s="15">
        <v>0.18181818287037038</v>
      </c>
    </row>
    <row r="13" spans="1:10">
      <c r="A13" s="14" t="s">
        <v>21</v>
      </c>
      <c r="B13" s="17" t="str">
        <f ca="1">B10-B12-B13</f>
        <v/>
      </c>
      <c r="D13" s="23">
        <v>45870</v>
      </c>
      <c r="E13" s="20">
        <f>IF($B$3="All",SUMIFS(RentPayments!$G:$G,RentPayments!$E:$E,"&gt;="&amp;DATE(2025,8,1),RentPayments!$E:$E,"&lt;="&amp;EOMONTH(DATE(2025,8,1),0)),SUMIFS(RentPayments!$G:$G,RentPayments!$D:$D,$B$3,RentPayments!$E:$E,"&gt;="&amp;DATE(2025,8,1),RentPayments!$E:$E,"&lt;="&amp;EOMONTH(DATE(2025,8,1),0)))</f>
        <v>9150</v>
      </c>
      <c r="F13" s="20">
        <f>IF($B$3="All",SUMIFS(RentPayments!$H:$H,RentPayments!$E:$E,"&gt;="&amp;DATE(2025,8,1),RentPayments!$E:$E,"&lt;="&amp;EOMONTH(DATE(2025,8,1),0)),SUMIFS(RentPayments!$H:$H,RentPayments!$D:$D,$B$3,RentPayments!$E:$E,"&gt;="&amp;DATE(2025,8,1),RentPayments!$E:$E,"&lt;="&amp;EOMONTH(DATE(2025,8,1),0)))</f>
        <v>9150</v>
      </c>
      <c r="G13" s="20">
        <f t="shared" si="0"/>
        <v>0</v>
      </c>
      <c r="H13" s="15">
        <v>0.375</v>
      </c>
    </row>
    <row r="14" spans="1:10">
      <c r="D14" s="23">
        <v>45901</v>
      </c>
      <c r="E14" s="20">
        <f>IF($B$3="All",SUMIFS(RentPayments!$G:$G,RentPayments!$E:$E,"&gt;="&amp;DATE(2025,9,1),RentPayments!$E:$E,"&lt;="&amp;EOMONTH(DATE(2025,9,1),0)),SUMIFS(RentPayments!$G:$G,RentPayments!$D:$D,$B$3,RentPayments!$E:$E,"&gt;="&amp;DATE(2025,9,1),RentPayments!$E:$E,"&lt;="&amp;EOMONTH(DATE(2025,9,1),0)))</f>
        <v>7900</v>
      </c>
      <c r="F14" s="20">
        <f>IF($B$3="All",SUMIFS(RentPayments!$H:$H,RentPayments!$E:$E,"&gt;="&amp;DATE(2025,9,1),RentPayments!$E:$E,"&lt;="&amp;EOMONTH(DATE(2025,9,1),0)),SUMIFS(RentPayments!$H:$H,RentPayments!$D:$D,$B$3,RentPayments!$E:$E,"&gt;="&amp;DATE(2025,9,1),RentPayments!$E:$E,"&lt;="&amp;EOMONTH(DATE(2025,9,1),0)))</f>
        <v>7687.5</v>
      </c>
      <c r="G14" s="20">
        <f t="shared" si="0"/>
        <v>212.5</v>
      </c>
      <c r="H14" s="15">
        <v>0.71428571759259263</v>
      </c>
    </row>
    <row r="15" spans="1:10">
      <c r="D15" s="23">
        <v>45962</v>
      </c>
      <c r="E15" s="20">
        <f>IF($B$3="All",SUMIFS(RentPayments!$G:$G,RentPayments!$E:$E,"&gt;="&amp;DATE(2025,11,1),RentPayments!$E:$E,"&lt;="&amp;EOMONTH(DATE(2025,11,1),0)),SUMIFS(RentPayments!$G:$G,RentPayments!$D:$D,$B$3,RentPayments!$E:$E,"&gt;="&amp;DATE(2025,11,1),RentPayments!$E:$E,"&lt;="&amp;EOMONTH(DATE(2025,11,1),0)))</f>
        <v>3800</v>
      </c>
      <c r="F15" s="20">
        <f>IF($B$3="All",SUMIFS(RentPayments!$H:$H,RentPayments!$E:$E,"&gt;="&amp;DATE(2025,11,1),RentPayments!$E:$E,"&lt;="&amp;EOMONTH(DATE(2025,11,1),0)),SUMIFS(RentPayments!$H:$H,RentPayments!$D:$D,$B$3,RentPayments!$E:$E,"&gt;="&amp;DATE(2025,11,1),RentPayments!$E:$E,"&lt;="&amp;EOMONTH(DATE(2025,11,1),0)))</f>
        <v>3800</v>
      </c>
      <c r="G15" s="20">
        <f t="shared" si="0"/>
        <v>0</v>
      </c>
      <c r="H15" s="15">
        <v>0</v>
      </c>
    </row>
    <row r="16" spans="1:10">
      <c r="D16" s="24">
        <v>45992</v>
      </c>
      <c r="E16" s="21">
        <f>IF($B$3="All",SUMIFS(RentPayments!$G:$G,RentPayments!$E:$E,"&gt;="&amp;DATE(2025,12,1),RentPayments!$E:$E,"&lt;="&amp;EOMONTH(DATE(2025,12,1),0)),SUMIFS(RentPayments!$G:$G,RentPayments!$D:$D,$B$3,RentPayments!$E:$E,"&gt;="&amp;DATE(2025,12,1),RentPayments!$E:$E,"&lt;="&amp;EOMONTH(DATE(2025,12,1),0)))</f>
        <v>1700</v>
      </c>
      <c r="F16" s="21">
        <f>IF($B$3="All",SUMIFS(RentPayments!$H:$H,RentPayments!$E:$E,"&gt;="&amp;DATE(2025,12,1),RentPayments!$E:$E,"&lt;="&amp;EOMONTH(DATE(2025,12,1),0)),SUMIFS(RentPayments!$H:$H,RentPayments!$D:$D,$B$3,RentPayments!$E:$E,"&gt;="&amp;DATE(2025,12,1),RentPayments!$E:$E,"&lt;="&amp;EOMONTH(DATE(2025,12,1),0)))</f>
        <v>1700</v>
      </c>
      <c r="G16" s="21">
        <f t="shared" si="0"/>
        <v>0</v>
      </c>
      <c r="H16" s="22">
        <v>0.5</v>
      </c>
    </row>
  </sheetData>
  <mergeCells count="2">
    <mergeCell ref="A1:H1"/>
    <mergeCell ref="D4:H4"/>
  </mergeCells>
  <dataValidations count="1">
    <dataValidation type="list" sqref="B3" xr:uid="{00000000-0002-0000-0000-000000000000}">
      <formula1>$J$2:$J$5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3.8"/>
  <cols>
    <col min="1" max="1" width="11.69921875" customWidth="1"/>
    <col min="2" max="2" width="21.296875" customWidth="1"/>
    <col min="3" max="3" width="14.09765625" customWidth="1"/>
    <col min="4" max="4" width="11.3984375" customWidth="1"/>
    <col min="5" max="5" width="5.3984375" customWidth="1"/>
    <col min="6" max="6" width="6.69921875" customWidth="1"/>
    <col min="7" max="7" width="11" customWidth="1"/>
  </cols>
  <sheetData>
    <row r="1" spans="1:7">
      <c r="A1" s="2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4" t="s">
        <v>28</v>
      </c>
    </row>
    <row r="2" spans="1:7">
      <c r="A2" t="s">
        <v>4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s="5">
        <v>6</v>
      </c>
    </row>
    <row r="3" spans="1:7">
      <c r="A3" t="s">
        <v>6</v>
      </c>
      <c r="B3" t="s">
        <v>34</v>
      </c>
      <c r="C3" t="s">
        <v>35</v>
      </c>
      <c r="D3" t="s">
        <v>31</v>
      </c>
      <c r="E3" t="s">
        <v>32</v>
      </c>
      <c r="F3" t="s">
        <v>36</v>
      </c>
      <c r="G3" s="5">
        <v>6</v>
      </c>
    </row>
    <row r="4" spans="1:7">
      <c r="A4" t="s">
        <v>13</v>
      </c>
      <c r="B4" t="s">
        <v>37</v>
      </c>
      <c r="C4" t="s">
        <v>38</v>
      </c>
      <c r="D4" t="s">
        <v>31</v>
      </c>
      <c r="E4" t="s">
        <v>32</v>
      </c>
      <c r="F4" t="s">
        <v>39</v>
      </c>
      <c r="G4" s="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/>
  </sheetViews>
  <sheetFormatPr defaultRowHeight="13.8"/>
  <cols>
    <col min="1" max="1" width="6.8984375" customWidth="1"/>
    <col min="2" max="2" width="11.69921875" customWidth="1"/>
    <col min="3" max="3" width="13.3984375" customWidth="1"/>
    <col min="4" max="4" width="13.69921875" customWidth="1"/>
    <col min="5" max="5" width="11" customWidth="1"/>
    <col min="6" max="6" width="11.8984375" customWidth="1"/>
    <col min="7" max="7" width="12.09765625" customWidth="1"/>
    <col min="8" max="8" width="12.69921875" customWidth="1"/>
    <col min="9" max="9" width="10.09765625" customWidth="1"/>
  </cols>
  <sheetData>
    <row r="1" spans="1:9">
      <c r="A1" s="2" t="s">
        <v>40</v>
      </c>
      <c r="B1" s="3" t="s">
        <v>22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4" t="s">
        <v>47</v>
      </c>
    </row>
    <row r="2" spans="1:9">
      <c r="A2" t="s">
        <v>48</v>
      </c>
      <c r="B2" t="s">
        <v>4</v>
      </c>
      <c r="C2" t="s">
        <v>49</v>
      </c>
      <c r="D2" t="s">
        <v>50</v>
      </c>
      <c r="E2" s="5">
        <v>1</v>
      </c>
      <c r="F2" s="6">
        <v>1</v>
      </c>
      <c r="G2" s="5">
        <v>650</v>
      </c>
      <c r="H2" s="7">
        <v>950</v>
      </c>
      <c r="I2" t="s">
        <v>51</v>
      </c>
    </row>
    <row r="3" spans="1:9">
      <c r="A3" t="s">
        <v>52</v>
      </c>
      <c r="B3" t="s">
        <v>4</v>
      </c>
      <c r="C3" t="s">
        <v>53</v>
      </c>
      <c r="D3" t="s">
        <v>50</v>
      </c>
      <c r="E3" s="5">
        <v>1</v>
      </c>
      <c r="F3" s="6">
        <v>1</v>
      </c>
      <c r="G3" s="5">
        <v>650</v>
      </c>
      <c r="H3" s="7">
        <v>950</v>
      </c>
      <c r="I3" t="s">
        <v>54</v>
      </c>
    </row>
    <row r="4" spans="1:9">
      <c r="A4" t="s">
        <v>55</v>
      </c>
      <c r="B4" t="s">
        <v>4</v>
      </c>
      <c r="C4" t="s">
        <v>56</v>
      </c>
      <c r="D4" t="s">
        <v>50</v>
      </c>
      <c r="E4" s="5">
        <v>2</v>
      </c>
      <c r="F4" s="6">
        <v>1.5</v>
      </c>
      <c r="G4" s="5">
        <v>900</v>
      </c>
      <c r="H4" s="7">
        <v>1250</v>
      </c>
      <c r="I4" t="s">
        <v>54</v>
      </c>
    </row>
    <row r="5" spans="1:9">
      <c r="A5" t="s">
        <v>57</v>
      </c>
      <c r="B5" t="s">
        <v>4</v>
      </c>
      <c r="C5" t="s">
        <v>58</v>
      </c>
      <c r="D5" t="s">
        <v>50</v>
      </c>
      <c r="E5" s="5">
        <v>2</v>
      </c>
      <c r="F5" s="6">
        <v>1.5</v>
      </c>
      <c r="G5" s="5">
        <v>900</v>
      </c>
      <c r="H5" s="7">
        <v>1250</v>
      </c>
      <c r="I5" t="s">
        <v>51</v>
      </c>
    </row>
    <row r="6" spans="1:9">
      <c r="A6" t="s">
        <v>59</v>
      </c>
      <c r="B6" t="s">
        <v>4</v>
      </c>
      <c r="C6" t="s">
        <v>60</v>
      </c>
      <c r="D6" t="s">
        <v>50</v>
      </c>
      <c r="E6" s="5">
        <v>2</v>
      </c>
      <c r="F6" s="6">
        <v>1.5</v>
      </c>
      <c r="G6" s="5">
        <v>900</v>
      </c>
      <c r="H6" s="7">
        <v>1250</v>
      </c>
      <c r="I6" t="s">
        <v>54</v>
      </c>
    </row>
    <row r="7" spans="1:9">
      <c r="A7" t="s">
        <v>61</v>
      </c>
      <c r="B7" t="s">
        <v>4</v>
      </c>
      <c r="C7" t="s">
        <v>62</v>
      </c>
      <c r="D7" t="s">
        <v>50</v>
      </c>
      <c r="E7" s="5">
        <v>3</v>
      </c>
      <c r="F7" s="6">
        <v>2</v>
      </c>
      <c r="G7" s="5">
        <v>1250</v>
      </c>
      <c r="H7" s="7">
        <v>1650</v>
      </c>
      <c r="I7" t="s">
        <v>54</v>
      </c>
    </row>
    <row r="8" spans="1:9">
      <c r="A8" t="s">
        <v>63</v>
      </c>
      <c r="B8" t="s">
        <v>6</v>
      </c>
      <c r="C8" t="s">
        <v>64</v>
      </c>
      <c r="D8" t="s">
        <v>65</v>
      </c>
      <c r="E8" s="5">
        <v>1</v>
      </c>
      <c r="F8" s="6">
        <v>1</v>
      </c>
      <c r="G8" s="5">
        <v>650</v>
      </c>
      <c r="H8" s="7">
        <v>950</v>
      </c>
      <c r="I8" t="s">
        <v>54</v>
      </c>
    </row>
    <row r="9" spans="1:9">
      <c r="A9" t="s">
        <v>66</v>
      </c>
      <c r="B9" t="s">
        <v>6</v>
      </c>
      <c r="C9" t="s">
        <v>67</v>
      </c>
      <c r="D9" t="s">
        <v>65</v>
      </c>
      <c r="E9" s="5">
        <v>1</v>
      </c>
      <c r="F9" s="6">
        <v>1</v>
      </c>
      <c r="G9" s="5">
        <v>650</v>
      </c>
      <c r="H9" s="7">
        <v>950</v>
      </c>
      <c r="I9" t="s">
        <v>54</v>
      </c>
    </row>
    <row r="10" spans="1:9">
      <c r="A10" t="s">
        <v>68</v>
      </c>
      <c r="B10" t="s">
        <v>6</v>
      </c>
      <c r="C10" t="s">
        <v>69</v>
      </c>
      <c r="D10" t="s">
        <v>65</v>
      </c>
      <c r="E10" s="5">
        <v>2</v>
      </c>
      <c r="F10" s="6">
        <v>1.5</v>
      </c>
      <c r="G10" s="5">
        <v>900</v>
      </c>
      <c r="H10" s="7">
        <v>1250</v>
      </c>
      <c r="I10" t="s">
        <v>51</v>
      </c>
    </row>
    <row r="11" spans="1:9">
      <c r="A11" t="s">
        <v>70</v>
      </c>
      <c r="B11" t="s">
        <v>6</v>
      </c>
      <c r="C11" t="s">
        <v>71</v>
      </c>
      <c r="D11" t="s">
        <v>65</v>
      </c>
      <c r="E11" s="5">
        <v>2</v>
      </c>
      <c r="F11" s="6">
        <v>1.5</v>
      </c>
      <c r="G11" s="5">
        <v>900</v>
      </c>
      <c r="H11" s="7">
        <v>1250</v>
      </c>
      <c r="I11" t="s">
        <v>54</v>
      </c>
    </row>
    <row r="12" spans="1:9">
      <c r="A12" t="s">
        <v>72</v>
      </c>
      <c r="B12" t="s">
        <v>6</v>
      </c>
      <c r="C12" t="s">
        <v>73</v>
      </c>
      <c r="D12" t="s">
        <v>65</v>
      </c>
      <c r="E12" s="5">
        <v>2</v>
      </c>
      <c r="F12" s="6">
        <v>1.5</v>
      </c>
      <c r="G12" s="5">
        <v>900</v>
      </c>
      <c r="H12" s="7">
        <v>1250</v>
      </c>
      <c r="I12" t="s">
        <v>54</v>
      </c>
    </row>
    <row r="13" spans="1:9">
      <c r="A13" t="s">
        <v>74</v>
      </c>
      <c r="B13" t="s">
        <v>6</v>
      </c>
      <c r="C13" t="s">
        <v>75</v>
      </c>
      <c r="D13" t="s">
        <v>65</v>
      </c>
      <c r="E13" s="5">
        <v>3</v>
      </c>
      <c r="F13" s="6">
        <v>2</v>
      </c>
      <c r="G13" s="5">
        <v>1250</v>
      </c>
      <c r="H13" s="7">
        <v>1650</v>
      </c>
      <c r="I13" t="s">
        <v>54</v>
      </c>
    </row>
    <row r="14" spans="1:9">
      <c r="A14" t="s">
        <v>76</v>
      </c>
      <c r="B14" t="s">
        <v>13</v>
      </c>
      <c r="C14" t="s">
        <v>49</v>
      </c>
      <c r="D14" t="s">
        <v>77</v>
      </c>
      <c r="E14" s="5">
        <v>1</v>
      </c>
      <c r="F14" s="6">
        <v>1</v>
      </c>
      <c r="G14" s="5">
        <v>650</v>
      </c>
      <c r="H14" s="7">
        <v>950</v>
      </c>
      <c r="I14" t="s">
        <v>54</v>
      </c>
    </row>
    <row r="15" spans="1:9">
      <c r="A15" t="s">
        <v>78</v>
      </c>
      <c r="B15" t="s">
        <v>13</v>
      </c>
      <c r="C15" t="s">
        <v>53</v>
      </c>
      <c r="D15" t="s">
        <v>77</v>
      </c>
      <c r="E15" s="5">
        <v>1</v>
      </c>
      <c r="F15" s="6">
        <v>1</v>
      </c>
      <c r="G15" s="5">
        <v>650</v>
      </c>
      <c r="H15" s="7">
        <v>950</v>
      </c>
      <c r="I15" t="s">
        <v>54</v>
      </c>
    </row>
    <row r="16" spans="1:9">
      <c r="A16" t="s">
        <v>79</v>
      </c>
      <c r="B16" t="s">
        <v>13</v>
      </c>
      <c r="C16" t="s">
        <v>56</v>
      </c>
      <c r="D16" t="s">
        <v>77</v>
      </c>
      <c r="E16" s="5">
        <v>2</v>
      </c>
      <c r="F16" s="6">
        <v>1.5</v>
      </c>
      <c r="G16" s="5">
        <v>900</v>
      </c>
      <c r="H16" s="7">
        <v>1250</v>
      </c>
      <c r="I16" t="s">
        <v>54</v>
      </c>
    </row>
    <row r="17" spans="1:9">
      <c r="A17" t="s">
        <v>80</v>
      </c>
      <c r="B17" t="s">
        <v>13</v>
      </c>
      <c r="C17" t="s">
        <v>58</v>
      </c>
      <c r="D17" t="s">
        <v>77</v>
      </c>
      <c r="E17" s="5">
        <v>2</v>
      </c>
      <c r="F17" s="6">
        <v>1.5</v>
      </c>
      <c r="G17" s="5">
        <v>900</v>
      </c>
      <c r="H17" s="7">
        <v>1250</v>
      </c>
      <c r="I17" t="s">
        <v>54</v>
      </c>
    </row>
    <row r="18" spans="1:9">
      <c r="A18" t="s">
        <v>81</v>
      </c>
      <c r="B18" t="s">
        <v>13</v>
      </c>
      <c r="C18" t="s">
        <v>60</v>
      </c>
      <c r="D18" t="s">
        <v>77</v>
      </c>
      <c r="E18" s="5">
        <v>2</v>
      </c>
      <c r="F18" s="6">
        <v>1.5</v>
      </c>
      <c r="G18" s="5">
        <v>900</v>
      </c>
      <c r="H18" s="7">
        <v>1250</v>
      </c>
      <c r="I18" t="s">
        <v>54</v>
      </c>
    </row>
    <row r="19" spans="1:9">
      <c r="A19" t="s">
        <v>82</v>
      </c>
      <c r="B19" t="s">
        <v>13</v>
      </c>
      <c r="C19" t="s">
        <v>62</v>
      </c>
      <c r="D19" t="s">
        <v>77</v>
      </c>
      <c r="E19" s="5">
        <v>3</v>
      </c>
      <c r="F19" s="6">
        <v>2</v>
      </c>
      <c r="G19" s="5">
        <v>1250</v>
      </c>
      <c r="H19" s="7">
        <v>1650</v>
      </c>
      <c r="I19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workbookViewId="0">
      <selection activeCell="A10" sqref="A10:XFD10"/>
    </sheetView>
  </sheetViews>
  <sheetFormatPr defaultRowHeight="13.8"/>
  <cols>
    <col min="1" max="1" width="16" customWidth="1"/>
    <col min="2" max="2" width="22" customWidth="1"/>
    <col min="3" max="10" width="16" customWidth="1"/>
  </cols>
  <sheetData>
    <row r="1" spans="1:10">
      <c r="A1" s="25" t="s">
        <v>83</v>
      </c>
      <c r="B1" s="26" t="s">
        <v>84</v>
      </c>
      <c r="C1" s="26" t="s">
        <v>40</v>
      </c>
      <c r="D1" s="26" t="s">
        <v>22</v>
      </c>
      <c r="E1" s="26" t="s">
        <v>85</v>
      </c>
      <c r="F1" s="26" t="s">
        <v>86</v>
      </c>
      <c r="G1" s="26" t="s">
        <v>87</v>
      </c>
      <c r="H1" s="27" t="s">
        <v>88</v>
      </c>
      <c r="I1" s="28" t="s">
        <v>89</v>
      </c>
      <c r="J1" s="28" t="s">
        <v>90</v>
      </c>
    </row>
    <row r="2" spans="1:10">
      <c r="A2" t="s">
        <v>91</v>
      </c>
      <c r="B2" t="s">
        <v>92</v>
      </c>
      <c r="C2" t="s">
        <v>52</v>
      </c>
      <c r="D2" s="8" t="s">
        <v>4</v>
      </c>
      <c r="E2" s="8">
        <v>45597</v>
      </c>
      <c r="F2" s="8">
        <v>45962</v>
      </c>
      <c r="G2" s="5">
        <v>1</v>
      </c>
      <c r="H2" s="9">
        <v>850</v>
      </c>
      <c r="I2" s="9">
        <v>850</v>
      </c>
      <c r="J2" t="s">
        <v>93</v>
      </c>
    </row>
    <row r="3" spans="1:10">
      <c r="A3" t="s">
        <v>94</v>
      </c>
      <c r="B3" t="s">
        <v>95</v>
      </c>
      <c r="C3" t="s">
        <v>55</v>
      </c>
      <c r="D3" s="8" t="s">
        <v>4</v>
      </c>
      <c r="E3" s="8">
        <v>45580</v>
      </c>
      <c r="F3" s="8">
        <v>45945</v>
      </c>
      <c r="G3" s="5">
        <v>1</v>
      </c>
      <c r="H3" s="9">
        <v>1250</v>
      </c>
      <c r="I3" s="9">
        <v>1250</v>
      </c>
      <c r="J3" t="s">
        <v>93</v>
      </c>
    </row>
    <row r="4" spans="1:10">
      <c r="A4" t="s">
        <v>96</v>
      </c>
      <c r="B4" t="s">
        <v>97</v>
      </c>
      <c r="C4" t="s">
        <v>59</v>
      </c>
      <c r="D4" s="8" t="s">
        <v>4</v>
      </c>
      <c r="E4" s="8">
        <v>45478</v>
      </c>
      <c r="F4" s="8">
        <v>45843</v>
      </c>
      <c r="G4" s="5">
        <v>1</v>
      </c>
      <c r="H4" s="9">
        <v>1150</v>
      </c>
      <c r="I4" s="9">
        <v>1150</v>
      </c>
      <c r="J4" t="s">
        <v>93</v>
      </c>
    </row>
    <row r="5" spans="1:10">
      <c r="A5" t="s">
        <v>98</v>
      </c>
      <c r="B5" t="s">
        <v>99</v>
      </c>
      <c r="C5" t="s">
        <v>61</v>
      </c>
      <c r="D5" s="8" t="s">
        <v>4</v>
      </c>
      <c r="E5" s="8">
        <v>45498</v>
      </c>
      <c r="F5" s="8">
        <v>45863</v>
      </c>
      <c r="G5" s="5">
        <v>1</v>
      </c>
      <c r="H5" s="9">
        <v>1550</v>
      </c>
      <c r="I5" s="9">
        <v>1550</v>
      </c>
      <c r="J5" t="s">
        <v>93</v>
      </c>
    </row>
    <row r="6" spans="1:10">
      <c r="A6" t="s">
        <v>100</v>
      </c>
      <c r="B6" t="s">
        <v>101</v>
      </c>
      <c r="C6" t="s">
        <v>63</v>
      </c>
      <c r="D6" s="8" t="s">
        <v>6</v>
      </c>
      <c r="E6" s="8">
        <v>45488</v>
      </c>
      <c r="F6" s="8">
        <v>45853</v>
      </c>
      <c r="G6" s="5">
        <v>1</v>
      </c>
      <c r="H6" s="9">
        <v>850</v>
      </c>
      <c r="I6" s="9">
        <v>850</v>
      </c>
      <c r="J6" t="s">
        <v>93</v>
      </c>
    </row>
    <row r="7" spans="1:10">
      <c r="A7" t="s">
        <v>102</v>
      </c>
      <c r="B7" t="s">
        <v>103</v>
      </c>
      <c r="C7" t="s">
        <v>66</v>
      </c>
      <c r="D7" s="8" t="s">
        <v>6</v>
      </c>
      <c r="E7" s="8">
        <v>45631</v>
      </c>
      <c r="F7" s="8">
        <v>45996</v>
      </c>
      <c r="G7" s="5">
        <v>1</v>
      </c>
      <c r="H7" s="9">
        <v>850</v>
      </c>
      <c r="I7" s="9">
        <v>850</v>
      </c>
      <c r="J7" t="s">
        <v>93</v>
      </c>
    </row>
    <row r="8" spans="1:10">
      <c r="A8" t="s">
        <v>104</v>
      </c>
      <c r="B8" t="s">
        <v>105</v>
      </c>
      <c r="C8" t="s">
        <v>70</v>
      </c>
      <c r="D8" s="8" t="s">
        <v>6</v>
      </c>
      <c r="E8" s="8">
        <v>45509</v>
      </c>
      <c r="F8" s="8">
        <v>45874</v>
      </c>
      <c r="G8" s="5">
        <v>1</v>
      </c>
      <c r="H8" s="9">
        <v>1250</v>
      </c>
      <c r="I8" s="9">
        <v>1250</v>
      </c>
      <c r="J8" t="s">
        <v>93</v>
      </c>
    </row>
    <row r="9" spans="1:10">
      <c r="A9" t="s">
        <v>106</v>
      </c>
      <c r="B9" t="s">
        <v>107</v>
      </c>
      <c r="C9" t="s">
        <v>72</v>
      </c>
      <c r="D9" s="8" t="s">
        <v>6</v>
      </c>
      <c r="E9" s="8">
        <v>45458</v>
      </c>
      <c r="F9" s="8">
        <v>45823</v>
      </c>
      <c r="G9" s="5">
        <v>1</v>
      </c>
      <c r="H9" s="9">
        <v>1250</v>
      </c>
      <c r="I9" s="9">
        <v>1250</v>
      </c>
      <c r="J9" t="s">
        <v>93</v>
      </c>
    </row>
    <row r="10" spans="1:10">
      <c r="A10" t="s">
        <v>108</v>
      </c>
      <c r="B10" t="s">
        <v>109</v>
      </c>
      <c r="C10" t="s">
        <v>74</v>
      </c>
      <c r="D10" s="8" t="s">
        <v>6</v>
      </c>
      <c r="E10" s="8">
        <v>45575</v>
      </c>
      <c r="F10" s="8">
        <v>45940</v>
      </c>
      <c r="G10" s="5">
        <v>1</v>
      </c>
      <c r="H10" s="9">
        <v>1650</v>
      </c>
      <c r="I10" s="9">
        <v>1650</v>
      </c>
      <c r="J10" t="s">
        <v>93</v>
      </c>
    </row>
    <row r="11" spans="1:10">
      <c r="A11" t="s">
        <v>110</v>
      </c>
      <c r="B11" t="s">
        <v>111</v>
      </c>
      <c r="C11" t="s">
        <v>76</v>
      </c>
      <c r="D11" s="8" t="s">
        <v>13</v>
      </c>
      <c r="E11" s="8">
        <v>45458</v>
      </c>
      <c r="F11" s="8">
        <v>45823</v>
      </c>
      <c r="G11" s="5">
        <v>1</v>
      </c>
      <c r="H11" s="9">
        <v>950</v>
      </c>
      <c r="I11" s="9">
        <v>950</v>
      </c>
      <c r="J11" t="s">
        <v>93</v>
      </c>
    </row>
    <row r="12" spans="1:10">
      <c r="A12" t="s">
        <v>112</v>
      </c>
      <c r="B12" t="s">
        <v>113</v>
      </c>
      <c r="C12" t="s">
        <v>78</v>
      </c>
      <c r="D12" s="8" t="s">
        <v>13</v>
      </c>
      <c r="E12" s="8">
        <v>45651</v>
      </c>
      <c r="F12" s="8">
        <v>46016</v>
      </c>
      <c r="G12" s="5">
        <v>1</v>
      </c>
      <c r="H12" s="9">
        <v>850</v>
      </c>
      <c r="I12" s="9">
        <v>850</v>
      </c>
      <c r="J12" t="s">
        <v>93</v>
      </c>
    </row>
    <row r="13" spans="1:10">
      <c r="A13" t="s">
        <v>114</v>
      </c>
      <c r="B13" t="s">
        <v>115</v>
      </c>
      <c r="C13" t="s">
        <v>79</v>
      </c>
      <c r="D13" s="8" t="s">
        <v>13</v>
      </c>
      <c r="E13" s="8">
        <v>45597</v>
      </c>
      <c r="F13" s="8">
        <v>45962</v>
      </c>
      <c r="G13" s="5">
        <v>1</v>
      </c>
      <c r="H13" s="9">
        <v>1250</v>
      </c>
      <c r="I13" s="9">
        <v>1250</v>
      </c>
      <c r="J13" t="s">
        <v>93</v>
      </c>
    </row>
    <row r="14" spans="1:10">
      <c r="A14" t="s">
        <v>116</v>
      </c>
      <c r="B14" t="s">
        <v>117</v>
      </c>
      <c r="C14" t="s">
        <v>80</v>
      </c>
      <c r="D14" s="8" t="s">
        <v>13</v>
      </c>
      <c r="E14" s="8">
        <v>45448</v>
      </c>
      <c r="F14" s="8">
        <v>45813</v>
      </c>
      <c r="G14" s="5">
        <v>1</v>
      </c>
      <c r="H14" s="9">
        <v>1250</v>
      </c>
      <c r="I14" s="9">
        <v>1250</v>
      </c>
      <c r="J14" t="s">
        <v>93</v>
      </c>
    </row>
    <row r="15" spans="1:10">
      <c r="A15" t="s">
        <v>118</v>
      </c>
      <c r="B15" t="s">
        <v>119</v>
      </c>
      <c r="C15" t="s">
        <v>81</v>
      </c>
      <c r="D15" s="8" t="s">
        <v>13</v>
      </c>
      <c r="E15" s="8">
        <v>45560</v>
      </c>
      <c r="F15" s="8">
        <v>45925</v>
      </c>
      <c r="G15" s="5">
        <v>1</v>
      </c>
      <c r="H15" s="9">
        <v>1200</v>
      </c>
      <c r="I15" s="9">
        <v>1200</v>
      </c>
      <c r="J1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0"/>
  <sheetViews>
    <sheetView tabSelected="1" workbookViewId="0">
      <selection activeCell="D8" sqref="D8"/>
    </sheetView>
  </sheetViews>
  <sheetFormatPr defaultRowHeight="13.8"/>
  <cols>
    <col min="1" max="9" width="15" customWidth="1"/>
  </cols>
  <sheetData>
    <row r="1" spans="1:9">
      <c r="A1" s="29" t="s">
        <v>120</v>
      </c>
      <c r="B1" s="30" t="s">
        <v>83</v>
      </c>
      <c r="C1" s="30" t="s">
        <v>40</v>
      </c>
      <c r="D1" s="30" t="s">
        <v>22</v>
      </c>
      <c r="E1" s="30" t="s">
        <v>121</v>
      </c>
      <c r="F1" s="30" t="s">
        <v>122</v>
      </c>
      <c r="G1" s="32" t="s">
        <v>123</v>
      </c>
      <c r="H1" s="32" t="s">
        <v>124</v>
      </c>
      <c r="I1" s="31" t="s">
        <v>125</v>
      </c>
    </row>
    <row r="2" spans="1:9">
      <c r="A2" t="s">
        <v>126</v>
      </c>
      <c r="B2" t="s">
        <v>91</v>
      </c>
      <c r="C2" t="s">
        <v>52</v>
      </c>
      <c r="D2" t="s">
        <v>4</v>
      </c>
      <c r="E2" s="8">
        <v>45658</v>
      </c>
      <c r="F2" s="8">
        <v>45658</v>
      </c>
      <c r="G2" s="7">
        <v>850</v>
      </c>
      <c r="H2" s="7">
        <v>850</v>
      </c>
      <c r="I2" t="s">
        <v>127</v>
      </c>
    </row>
    <row r="3" spans="1:9">
      <c r="A3" t="s">
        <v>128</v>
      </c>
      <c r="B3" t="s">
        <v>91</v>
      </c>
      <c r="C3" t="s">
        <v>52</v>
      </c>
      <c r="D3" t="s">
        <v>4</v>
      </c>
      <c r="E3" s="8">
        <v>45689</v>
      </c>
      <c r="F3" s="8">
        <v>45689</v>
      </c>
      <c r="G3" s="7">
        <v>850</v>
      </c>
      <c r="H3" s="7">
        <v>850</v>
      </c>
      <c r="I3" t="s">
        <v>127</v>
      </c>
    </row>
    <row r="4" spans="1:9">
      <c r="A4" t="s">
        <v>129</v>
      </c>
      <c r="B4" t="s">
        <v>91</v>
      </c>
      <c r="C4" t="s">
        <v>52</v>
      </c>
      <c r="D4" t="s">
        <v>4</v>
      </c>
      <c r="E4" s="8">
        <v>45717</v>
      </c>
      <c r="F4" s="8">
        <v>45717</v>
      </c>
      <c r="G4" s="7">
        <v>850</v>
      </c>
      <c r="H4" s="7">
        <v>850</v>
      </c>
      <c r="I4" t="s">
        <v>127</v>
      </c>
    </row>
    <row r="5" spans="1:9">
      <c r="A5" t="s">
        <v>130</v>
      </c>
      <c r="B5" t="s">
        <v>91</v>
      </c>
      <c r="C5" t="s">
        <v>52</v>
      </c>
      <c r="D5" t="s">
        <v>4</v>
      </c>
      <c r="E5" s="8">
        <v>45748</v>
      </c>
      <c r="F5" s="8">
        <v>45758</v>
      </c>
      <c r="G5" s="7">
        <v>850</v>
      </c>
      <c r="H5" s="7">
        <v>850</v>
      </c>
      <c r="I5" t="s">
        <v>131</v>
      </c>
    </row>
    <row r="6" spans="1:9">
      <c r="A6" t="s">
        <v>132</v>
      </c>
      <c r="B6" t="s">
        <v>91</v>
      </c>
      <c r="C6" t="s">
        <v>52</v>
      </c>
      <c r="D6" t="s">
        <v>4</v>
      </c>
      <c r="E6" s="8">
        <v>45778</v>
      </c>
      <c r="F6" s="8">
        <v>45778</v>
      </c>
      <c r="G6" s="7">
        <v>850</v>
      </c>
      <c r="H6" s="7">
        <v>850</v>
      </c>
      <c r="I6" t="s">
        <v>127</v>
      </c>
    </row>
    <row r="7" spans="1:9">
      <c r="A7" t="s">
        <v>133</v>
      </c>
      <c r="B7" t="s">
        <v>91</v>
      </c>
      <c r="C7" t="s">
        <v>52</v>
      </c>
      <c r="D7" t="s">
        <v>4</v>
      </c>
      <c r="E7" s="8">
        <v>45809</v>
      </c>
      <c r="F7" s="8">
        <v>45814</v>
      </c>
      <c r="G7" s="7">
        <v>850</v>
      </c>
      <c r="H7" s="7">
        <v>850</v>
      </c>
      <c r="I7" t="s">
        <v>131</v>
      </c>
    </row>
    <row r="8" spans="1:9">
      <c r="A8" t="s">
        <v>134</v>
      </c>
      <c r="B8" t="s">
        <v>91</v>
      </c>
      <c r="C8" t="s">
        <v>52</v>
      </c>
      <c r="D8" t="s">
        <v>4</v>
      </c>
      <c r="E8" s="8">
        <v>45839</v>
      </c>
      <c r="F8" s="8">
        <v>45854</v>
      </c>
      <c r="G8" s="7">
        <v>850</v>
      </c>
      <c r="H8" s="7">
        <v>850</v>
      </c>
      <c r="I8" t="s">
        <v>131</v>
      </c>
    </row>
    <row r="9" spans="1:9">
      <c r="A9" t="s">
        <v>135</v>
      </c>
      <c r="B9" t="s">
        <v>91</v>
      </c>
      <c r="C9" t="s">
        <v>52</v>
      </c>
      <c r="D9" t="s">
        <v>4</v>
      </c>
      <c r="E9" s="8">
        <v>45870</v>
      </c>
      <c r="F9" s="8">
        <v>45870</v>
      </c>
      <c r="G9" s="7">
        <v>850</v>
      </c>
      <c r="H9" s="7">
        <v>850</v>
      </c>
      <c r="I9" t="s">
        <v>127</v>
      </c>
    </row>
    <row r="10" spans="1:9">
      <c r="A10" t="s">
        <v>136</v>
      </c>
      <c r="B10" t="s">
        <v>91</v>
      </c>
      <c r="C10" t="s">
        <v>52</v>
      </c>
      <c r="D10" t="s">
        <v>4</v>
      </c>
      <c r="E10" s="8">
        <v>45901</v>
      </c>
      <c r="F10" s="8">
        <v>45901</v>
      </c>
      <c r="G10" s="7">
        <v>850</v>
      </c>
      <c r="H10" s="7">
        <v>850</v>
      </c>
      <c r="I10" t="s">
        <v>127</v>
      </c>
    </row>
    <row r="11" spans="1:9">
      <c r="A11" t="s">
        <v>137</v>
      </c>
      <c r="B11" t="s">
        <v>91</v>
      </c>
      <c r="C11" t="s">
        <v>52</v>
      </c>
      <c r="D11" t="s">
        <v>4</v>
      </c>
      <c r="E11" s="8">
        <v>45931</v>
      </c>
      <c r="F11" s="8">
        <v>45941</v>
      </c>
      <c r="G11" s="7">
        <v>850</v>
      </c>
      <c r="H11" s="7">
        <v>850</v>
      </c>
      <c r="I11" t="s">
        <v>131</v>
      </c>
    </row>
    <row r="12" spans="1:9">
      <c r="A12" t="s">
        <v>138</v>
      </c>
      <c r="B12" t="s">
        <v>91</v>
      </c>
      <c r="C12" t="s">
        <v>52</v>
      </c>
      <c r="D12" t="s">
        <v>4</v>
      </c>
      <c r="E12" s="8">
        <v>45962</v>
      </c>
      <c r="F12" s="8">
        <v>45964</v>
      </c>
      <c r="G12" s="7">
        <v>850</v>
      </c>
      <c r="H12" s="7">
        <v>850</v>
      </c>
      <c r="I12" t="s">
        <v>131</v>
      </c>
    </row>
    <row r="13" spans="1:9">
      <c r="A13" t="s">
        <v>139</v>
      </c>
      <c r="B13" t="s">
        <v>94</v>
      </c>
      <c r="C13" t="s">
        <v>55</v>
      </c>
      <c r="D13" t="s">
        <v>4</v>
      </c>
      <c r="E13" s="8">
        <v>45658</v>
      </c>
      <c r="F13" s="8">
        <v>45658</v>
      </c>
      <c r="G13" s="7">
        <v>1250</v>
      </c>
      <c r="H13" s="7">
        <v>1250</v>
      </c>
      <c r="I13" t="s">
        <v>127</v>
      </c>
    </row>
    <row r="14" spans="1:9">
      <c r="A14" t="s">
        <v>140</v>
      </c>
      <c r="B14" t="s">
        <v>94</v>
      </c>
      <c r="C14" t="s">
        <v>55</v>
      </c>
      <c r="D14" t="s">
        <v>4</v>
      </c>
      <c r="E14" s="8">
        <v>45689</v>
      </c>
      <c r="F14" s="8">
        <v>45694</v>
      </c>
      <c r="G14" s="7">
        <v>1250</v>
      </c>
      <c r="H14" s="7">
        <v>1250</v>
      </c>
      <c r="I14" t="s">
        <v>131</v>
      </c>
    </row>
    <row r="15" spans="1:9">
      <c r="A15" t="s">
        <v>141</v>
      </c>
      <c r="B15" t="s">
        <v>94</v>
      </c>
      <c r="C15" t="s">
        <v>55</v>
      </c>
      <c r="D15" t="s">
        <v>4</v>
      </c>
      <c r="E15" s="8">
        <v>45717</v>
      </c>
      <c r="F15" s="8">
        <v>45719</v>
      </c>
      <c r="G15" s="7">
        <v>1250</v>
      </c>
      <c r="H15" s="7">
        <v>1250</v>
      </c>
      <c r="I15" t="s">
        <v>131</v>
      </c>
    </row>
    <row r="16" spans="1:9">
      <c r="A16" t="s">
        <v>142</v>
      </c>
      <c r="B16" t="s">
        <v>94</v>
      </c>
      <c r="C16" t="s">
        <v>55</v>
      </c>
      <c r="D16" t="s">
        <v>4</v>
      </c>
      <c r="E16" s="8">
        <v>45748</v>
      </c>
      <c r="F16" s="8">
        <v>45748</v>
      </c>
      <c r="G16" s="7">
        <v>1250</v>
      </c>
      <c r="H16" s="7">
        <v>1250</v>
      </c>
      <c r="I16" t="s">
        <v>127</v>
      </c>
    </row>
    <row r="17" spans="1:9">
      <c r="A17" t="s">
        <v>143</v>
      </c>
      <c r="B17" t="s">
        <v>94</v>
      </c>
      <c r="C17" t="s">
        <v>55</v>
      </c>
      <c r="D17" t="s">
        <v>4</v>
      </c>
      <c r="E17" s="8">
        <v>45778</v>
      </c>
      <c r="F17" s="8">
        <v>45780</v>
      </c>
      <c r="G17" s="7">
        <v>1250</v>
      </c>
      <c r="H17" s="7">
        <v>1250</v>
      </c>
      <c r="I17" t="s">
        <v>131</v>
      </c>
    </row>
    <row r="18" spans="1:9">
      <c r="A18" t="s">
        <v>144</v>
      </c>
      <c r="B18" t="s">
        <v>94</v>
      </c>
      <c r="C18" t="s">
        <v>55</v>
      </c>
      <c r="D18" t="s">
        <v>4</v>
      </c>
      <c r="E18" s="8">
        <v>45809</v>
      </c>
      <c r="F18" s="8">
        <v>45809</v>
      </c>
      <c r="G18" s="7">
        <v>1250</v>
      </c>
      <c r="H18" s="7">
        <v>1250</v>
      </c>
      <c r="I18" t="s">
        <v>127</v>
      </c>
    </row>
    <row r="19" spans="1:9">
      <c r="A19" t="s">
        <v>145</v>
      </c>
      <c r="B19" t="s">
        <v>94</v>
      </c>
      <c r="C19" t="s">
        <v>55</v>
      </c>
      <c r="D19" t="s">
        <v>4</v>
      </c>
      <c r="E19" s="8">
        <v>45839</v>
      </c>
      <c r="F19" s="8">
        <v>45849</v>
      </c>
      <c r="G19" s="7">
        <v>1250</v>
      </c>
      <c r="H19" s="7">
        <v>1250</v>
      </c>
      <c r="I19" t="s">
        <v>131</v>
      </c>
    </row>
    <row r="20" spans="1:9">
      <c r="A20" t="s">
        <v>146</v>
      </c>
      <c r="B20" t="s">
        <v>94</v>
      </c>
      <c r="C20" t="s">
        <v>55</v>
      </c>
      <c r="D20" t="s">
        <v>4</v>
      </c>
      <c r="E20" s="8">
        <v>45870</v>
      </c>
      <c r="F20" s="8">
        <v>45872</v>
      </c>
      <c r="G20" s="7">
        <v>1250</v>
      </c>
      <c r="H20" s="7">
        <v>1250</v>
      </c>
      <c r="I20" t="s">
        <v>131</v>
      </c>
    </row>
    <row r="21" spans="1:9">
      <c r="A21" t="s">
        <v>147</v>
      </c>
      <c r="B21" t="s">
        <v>94</v>
      </c>
      <c r="C21" t="s">
        <v>55</v>
      </c>
      <c r="D21" t="s">
        <v>4</v>
      </c>
      <c r="E21" s="8">
        <v>45901</v>
      </c>
      <c r="F21" s="8">
        <v>45901</v>
      </c>
      <c r="G21" s="7">
        <v>1250</v>
      </c>
      <c r="H21" s="7">
        <v>1250</v>
      </c>
      <c r="I21" t="s">
        <v>127</v>
      </c>
    </row>
    <row r="22" spans="1:9">
      <c r="A22" t="s">
        <v>148</v>
      </c>
      <c r="B22" t="s">
        <v>94</v>
      </c>
      <c r="C22" t="s">
        <v>55</v>
      </c>
      <c r="D22" t="s">
        <v>4</v>
      </c>
      <c r="E22" s="8">
        <v>45931</v>
      </c>
      <c r="F22" s="8">
        <v>45931</v>
      </c>
      <c r="G22" s="7">
        <v>1250</v>
      </c>
      <c r="H22" s="7">
        <v>1250</v>
      </c>
      <c r="I22" t="s">
        <v>127</v>
      </c>
    </row>
    <row r="23" spans="1:9">
      <c r="A23" t="s">
        <v>149</v>
      </c>
      <c r="B23" t="s">
        <v>96</v>
      </c>
      <c r="C23" t="s">
        <v>59</v>
      </c>
      <c r="D23" t="s">
        <v>4</v>
      </c>
      <c r="E23" s="8">
        <v>45658</v>
      </c>
      <c r="F23" s="8">
        <v>45663</v>
      </c>
      <c r="G23" s="7">
        <v>1150</v>
      </c>
      <c r="H23" s="7">
        <v>1150</v>
      </c>
      <c r="I23" t="s">
        <v>131</v>
      </c>
    </row>
    <row r="24" spans="1:9">
      <c r="A24" t="s">
        <v>150</v>
      </c>
      <c r="B24" t="s">
        <v>96</v>
      </c>
      <c r="C24" t="s">
        <v>59</v>
      </c>
      <c r="D24" t="s">
        <v>4</v>
      </c>
      <c r="E24" s="8">
        <v>45689</v>
      </c>
      <c r="F24" s="8">
        <v>45689</v>
      </c>
      <c r="G24" s="7">
        <v>1150</v>
      </c>
      <c r="H24" s="7">
        <v>1150</v>
      </c>
      <c r="I24" t="s">
        <v>127</v>
      </c>
    </row>
    <row r="25" spans="1:9">
      <c r="A25" t="s">
        <v>151</v>
      </c>
      <c r="B25" t="s">
        <v>96</v>
      </c>
      <c r="C25" t="s">
        <v>59</v>
      </c>
      <c r="D25" t="s">
        <v>4</v>
      </c>
      <c r="E25" s="8">
        <v>45717</v>
      </c>
      <c r="F25" s="8">
        <v>45719</v>
      </c>
      <c r="G25" s="7">
        <v>1150</v>
      </c>
      <c r="H25" s="7">
        <v>862.5</v>
      </c>
      <c r="I25" t="s">
        <v>152</v>
      </c>
    </row>
    <row r="26" spans="1:9">
      <c r="A26" t="s">
        <v>153</v>
      </c>
      <c r="B26" t="s">
        <v>96</v>
      </c>
      <c r="C26" t="s">
        <v>59</v>
      </c>
      <c r="D26" t="s">
        <v>4</v>
      </c>
      <c r="E26" s="8">
        <v>45748</v>
      </c>
      <c r="F26" s="8">
        <v>45763</v>
      </c>
      <c r="G26" s="7">
        <v>1150</v>
      </c>
      <c r="H26" s="7">
        <v>1150</v>
      </c>
      <c r="I26" t="s">
        <v>131</v>
      </c>
    </row>
    <row r="27" spans="1:9">
      <c r="A27" t="s">
        <v>154</v>
      </c>
      <c r="B27" t="s">
        <v>96</v>
      </c>
      <c r="C27" t="s">
        <v>59</v>
      </c>
      <c r="D27" t="s">
        <v>4</v>
      </c>
      <c r="E27" s="8">
        <v>45778</v>
      </c>
      <c r="F27" s="8">
        <v>45793</v>
      </c>
      <c r="G27" s="7">
        <v>1150</v>
      </c>
      <c r="H27" s="7">
        <v>1150</v>
      </c>
      <c r="I27" t="s">
        <v>131</v>
      </c>
    </row>
    <row r="28" spans="1:9">
      <c r="A28" t="s">
        <v>155</v>
      </c>
      <c r="B28" t="s">
        <v>96</v>
      </c>
      <c r="C28" t="s">
        <v>59</v>
      </c>
      <c r="D28" t="s">
        <v>4</v>
      </c>
      <c r="E28" s="8">
        <v>45809</v>
      </c>
      <c r="F28" s="8">
        <v>45814</v>
      </c>
      <c r="G28" s="7">
        <v>1150</v>
      </c>
      <c r="H28" s="7">
        <v>1150</v>
      </c>
      <c r="I28" t="s">
        <v>131</v>
      </c>
    </row>
    <row r="29" spans="1:9">
      <c r="A29" t="s">
        <v>156</v>
      </c>
      <c r="B29" t="s">
        <v>96</v>
      </c>
      <c r="C29" t="s">
        <v>59</v>
      </c>
      <c r="D29" t="s">
        <v>4</v>
      </c>
      <c r="E29" s="8">
        <v>45839</v>
      </c>
      <c r="F29" s="8">
        <v>45854</v>
      </c>
      <c r="G29" s="7">
        <v>1150</v>
      </c>
      <c r="H29" s="7">
        <v>1150</v>
      </c>
      <c r="I29" t="s">
        <v>131</v>
      </c>
    </row>
    <row r="30" spans="1:9">
      <c r="A30" t="s">
        <v>157</v>
      </c>
      <c r="B30" t="s">
        <v>98</v>
      </c>
      <c r="C30" t="s">
        <v>61</v>
      </c>
      <c r="D30" t="s">
        <v>4</v>
      </c>
      <c r="E30" s="8">
        <v>45658</v>
      </c>
      <c r="F30" s="8">
        <v>45663</v>
      </c>
      <c r="G30" s="7">
        <v>1550</v>
      </c>
      <c r="H30" s="7">
        <v>1550</v>
      </c>
      <c r="I30" t="s">
        <v>131</v>
      </c>
    </row>
    <row r="31" spans="1:9">
      <c r="A31" t="s">
        <v>158</v>
      </c>
      <c r="B31" t="s">
        <v>98</v>
      </c>
      <c r="C31" t="s">
        <v>61</v>
      </c>
      <c r="D31" t="s">
        <v>4</v>
      </c>
      <c r="E31" s="8">
        <v>45689</v>
      </c>
      <c r="F31" s="8">
        <v>45691</v>
      </c>
      <c r="G31" s="7">
        <v>1550</v>
      </c>
      <c r="H31" s="7">
        <v>1162.5</v>
      </c>
      <c r="I31" t="s">
        <v>152</v>
      </c>
    </row>
    <row r="32" spans="1:9">
      <c r="A32" t="s">
        <v>159</v>
      </c>
      <c r="B32" t="s">
        <v>98</v>
      </c>
      <c r="C32" t="s">
        <v>61</v>
      </c>
      <c r="D32" t="s">
        <v>4</v>
      </c>
      <c r="E32" s="8">
        <v>45717</v>
      </c>
      <c r="F32" s="8">
        <v>45732</v>
      </c>
      <c r="G32" s="7">
        <v>1550</v>
      </c>
      <c r="H32" s="7">
        <v>1550</v>
      </c>
      <c r="I32" t="s">
        <v>131</v>
      </c>
    </row>
    <row r="33" spans="1:9">
      <c r="A33" t="s">
        <v>160</v>
      </c>
      <c r="B33" t="s">
        <v>98</v>
      </c>
      <c r="C33" t="s">
        <v>61</v>
      </c>
      <c r="D33" t="s">
        <v>4</v>
      </c>
      <c r="E33" s="8">
        <v>45748</v>
      </c>
      <c r="F33" s="8">
        <v>45748</v>
      </c>
      <c r="G33" s="7">
        <v>1550</v>
      </c>
      <c r="H33" s="7">
        <v>1550</v>
      </c>
      <c r="I33" t="s">
        <v>127</v>
      </c>
    </row>
    <row r="34" spans="1:9">
      <c r="A34" t="s">
        <v>161</v>
      </c>
      <c r="B34" t="s">
        <v>98</v>
      </c>
      <c r="C34" t="s">
        <v>61</v>
      </c>
      <c r="D34" t="s">
        <v>4</v>
      </c>
      <c r="E34" s="8">
        <v>45778</v>
      </c>
      <c r="F34" s="8">
        <v>45778</v>
      </c>
      <c r="G34" s="7">
        <v>1550</v>
      </c>
      <c r="H34" s="7">
        <v>1550</v>
      </c>
      <c r="I34" t="s">
        <v>127</v>
      </c>
    </row>
    <row r="35" spans="1:9">
      <c r="A35" t="s">
        <v>162</v>
      </c>
      <c r="B35" t="s">
        <v>98</v>
      </c>
      <c r="C35" t="s">
        <v>61</v>
      </c>
      <c r="D35" t="s">
        <v>4</v>
      </c>
      <c r="E35" s="8">
        <v>45809</v>
      </c>
      <c r="F35" s="8">
        <v>45824</v>
      </c>
      <c r="G35" s="7">
        <v>1550</v>
      </c>
      <c r="H35" s="7">
        <v>1550</v>
      </c>
      <c r="I35" t="s">
        <v>131</v>
      </c>
    </row>
    <row r="36" spans="1:9">
      <c r="A36" t="s">
        <v>163</v>
      </c>
      <c r="B36" t="s">
        <v>98</v>
      </c>
      <c r="C36" t="s">
        <v>61</v>
      </c>
      <c r="D36" t="s">
        <v>4</v>
      </c>
      <c r="E36" s="8">
        <v>45839</v>
      </c>
      <c r="F36" s="8">
        <v>45849</v>
      </c>
      <c r="G36" s="7">
        <v>1550</v>
      </c>
      <c r="H36" s="7">
        <v>1550</v>
      </c>
      <c r="I36" t="s">
        <v>131</v>
      </c>
    </row>
    <row r="37" spans="1:9">
      <c r="A37" t="s">
        <v>164</v>
      </c>
      <c r="B37" t="s">
        <v>100</v>
      </c>
      <c r="C37" t="s">
        <v>63</v>
      </c>
      <c r="D37" t="s">
        <v>6</v>
      </c>
      <c r="E37" s="8">
        <v>45658</v>
      </c>
      <c r="F37" s="8">
        <v>45658</v>
      </c>
      <c r="G37" s="7">
        <v>850</v>
      </c>
      <c r="H37" s="7">
        <v>850</v>
      </c>
      <c r="I37" t="s">
        <v>127</v>
      </c>
    </row>
    <row r="38" spans="1:9">
      <c r="A38" t="s">
        <v>165</v>
      </c>
      <c r="B38" t="s">
        <v>100</v>
      </c>
      <c r="C38" t="s">
        <v>63</v>
      </c>
      <c r="D38" t="s">
        <v>6</v>
      </c>
      <c r="E38" s="8">
        <v>45689</v>
      </c>
      <c r="F38" s="8">
        <v>45689</v>
      </c>
      <c r="G38" s="7">
        <v>850</v>
      </c>
      <c r="H38" s="7">
        <v>850</v>
      </c>
      <c r="I38" t="s">
        <v>127</v>
      </c>
    </row>
    <row r="39" spans="1:9">
      <c r="A39" t="s">
        <v>166</v>
      </c>
      <c r="B39" t="s">
        <v>100</v>
      </c>
      <c r="C39" t="s">
        <v>63</v>
      </c>
      <c r="D39" t="s">
        <v>6</v>
      </c>
      <c r="E39" s="8">
        <v>45717</v>
      </c>
      <c r="F39" s="8">
        <v>45727</v>
      </c>
      <c r="G39" s="7">
        <v>850</v>
      </c>
      <c r="H39" s="7">
        <v>850</v>
      </c>
      <c r="I39" t="s">
        <v>131</v>
      </c>
    </row>
    <row r="40" spans="1:9">
      <c r="A40" t="s">
        <v>167</v>
      </c>
      <c r="B40" t="s">
        <v>100</v>
      </c>
      <c r="C40" t="s">
        <v>63</v>
      </c>
      <c r="D40" t="s">
        <v>6</v>
      </c>
      <c r="E40" s="8">
        <v>45748</v>
      </c>
      <c r="F40" s="8">
        <v>45758</v>
      </c>
      <c r="G40" s="7">
        <v>850</v>
      </c>
      <c r="H40" s="7">
        <v>850</v>
      </c>
      <c r="I40" t="s">
        <v>131</v>
      </c>
    </row>
    <row r="41" spans="1:9">
      <c r="A41" t="s">
        <v>168</v>
      </c>
      <c r="B41" t="s">
        <v>100</v>
      </c>
      <c r="C41" t="s">
        <v>63</v>
      </c>
      <c r="D41" t="s">
        <v>6</v>
      </c>
      <c r="E41" s="8">
        <v>45778</v>
      </c>
      <c r="F41" s="8">
        <v>45783</v>
      </c>
      <c r="G41" s="7">
        <v>850</v>
      </c>
      <c r="H41" s="7">
        <v>850</v>
      </c>
      <c r="I41" t="s">
        <v>131</v>
      </c>
    </row>
    <row r="42" spans="1:9">
      <c r="A42" t="s">
        <v>169</v>
      </c>
      <c r="B42" t="s">
        <v>100</v>
      </c>
      <c r="C42" t="s">
        <v>63</v>
      </c>
      <c r="D42" t="s">
        <v>6</v>
      </c>
      <c r="E42" s="8">
        <v>45809</v>
      </c>
      <c r="F42" s="8">
        <v>45809</v>
      </c>
      <c r="G42" s="7">
        <v>850</v>
      </c>
      <c r="H42" s="7">
        <v>850</v>
      </c>
      <c r="I42" t="s">
        <v>127</v>
      </c>
    </row>
    <row r="43" spans="1:9">
      <c r="A43" t="s">
        <v>170</v>
      </c>
      <c r="B43" t="s">
        <v>100</v>
      </c>
      <c r="C43" t="s">
        <v>63</v>
      </c>
      <c r="D43" t="s">
        <v>6</v>
      </c>
      <c r="E43" s="8">
        <v>45839</v>
      </c>
      <c r="F43" s="8"/>
      <c r="G43" s="7">
        <v>850</v>
      </c>
      <c r="H43" s="7">
        <v>0</v>
      </c>
      <c r="I43" t="s">
        <v>171</v>
      </c>
    </row>
    <row r="44" spans="1:9">
      <c r="A44" t="s">
        <v>172</v>
      </c>
      <c r="B44" t="s">
        <v>102</v>
      </c>
      <c r="C44" t="s">
        <v>66</v>
      </c>
      <c r="D44" t="s">
        <v>6</v>
      </c>
      <c r="E44" s="8">
        <v>45658</v>
      </c>
      <c r="F44" s="8">
        <v>45668</v>
      </c>
      <c r="G44" s="7">
        <v>850</v>
      </c>
      <c r="H44" s="7">
        <v>850</v>
      </c>
      <c r="I44" t="s">
        <v>131</v>
      </c>
    </row>
    <row r="45" spans="1:9">
      <c r="A45" t="s">
        <v>173</v>
      </c>
      <c r="B45" t="s">
        <v>102</v>
      </c>
      <c r="C45" t="s">
        <v>66</v>
      </c>
      <c r="D45" t="s">
        <v>6</v>
      </c>
      <c r="E45" s="8">
        <v>45689</v>
      </c>
      <c r="F45" s="8">
        <v>45689</v>
      </c>
      <c r="G45" s="7">
        <v>850</v>
      </c>
      <c r="H45" s="7">
        <v>850</v>
      </c>
      <c r="I45" t="s">
        <v>127</v>
      </c>
    </row>
    <row r="46" spans="1:9">
      <c r="A46" t="s">
        <v>174</v>
      </c>
      <c r="B46" t="s">
        <v>102</v>
      </c>
      <c r="C46" t="s">
        <v>66</v>
      </c>
      <c r="D46" t="s">
        <v>6</v>
      </c>
      <c r="E46" s="8">
        <v>45717</v>
      </c>
      <c r="F46" s="8">
        <v>45717</v>
      </c>
      <c r="G46" s="7">
        <v>850</v>
      </c>
      <c r="H46" s="7">
        <v>850</v>
      </c>
      <c r="I46" t="s">
        <v>127</v>
      </c>
    </row>
    <row r="47" spans="1:9">
      <c r="A47" t="s">
        <v>175</v>
      </c>
      <c r="B47" t="s">
        <v>102</v>
      </c>
      <c r="C47" t="s">
        <v>66</v>
      </c>
      <c r="D47" t="s">
        <v>6</v>
      </c>
      <c r="E47" s="8">
        <v>45748</v>
      </c>
      <c r="F47" s="8">
        <v>45753</v>
      </c>
      <c r="G47" s="7">
        <v>850</v>
      </c>
      <c r="H47" s="7">
        <v>850</v>
      </c>
      <c r="I47" t="s">
        <v>131</v>
      </c>
    </row>
    <row r="48" spans="1:9">
      <c r="A48" t="s">
        <v>176</v>
      </c>
      <c r="B48" t="s">
        <v>102</v>
      </c>
      <c r="C48" t="s">
        <v>66</v>
      </c>
      <c r="D48" t="s">
        <v>6</v>
      </c>
      <c r="E48" s="8">
        <v>45778</v>
      </c>
      <c r="F48" s="8">
        <v>45783</v>
      </c>
      <c r="G48" s="7">
        <v>850</v>
      </c>
      <c r="H48" s="7">
        <v>850</v>
      </c>
      <c r="I48" t="s">
        <v>131</v>
      </c>
    </row>
    <row r="49" spans="1:9">
      <c r="A49" t="s">
        <v>177</v>
      </c>
      <c r="B49" t="s">
        <v>102</v>
      </c>
      <c r="C49" t="s">
        <v>66</v>
      </c>
      <c r="D49" t="s">
        <v>6</v>
      </c>
      <c r="E49" s="8">
        <v>45809</v>
      </c>
      <c r="F49" s="8">
        <v>45811</v>
      </c>
      <c r="G49" s="7">
        <v>850</v>
      </c>
      <c r="H49" s="7">
        <v>850</v>
      </c>
      <c r="I49" t="s">
        <v>131</v>
      </c>
    </row>
    <row r="50" spans="1:9">
      <c r="A50" t="s">
        <v>178</v>
      </c>
      <c r="B50" t="s">
        <v>102</v>
      </c>
      <c r="C50" t="s">
        <v>66</v>
      </c>
      <c r="D50" t="s">
        <v>6</v>
      </c>
      <c r="E50" s="8">
        <v>45839</v>
      </c>
      <c r="F50" s="8">
        <v>45839</v>
      </c>
      <c r="G50" s="7">
        <v>850</v>
      </c>
      <c r="H50" s="7">
        <v>850</v>
      </c>
      <c r="I50" t="s">
        <v>127</v>
      </c>
    </row>
    <row r="51" spans="1:9">
      <c r="A51" t="s">
        <v>179</v>
      </c>
      <c r="B51" t="s">
        <v>102</v>
      </c>
      <c r="C51" t="s">
        <v>66</v>
      </c>
      <c r="D51" t="s">
        <v>6</v>
      </c>
      <c r="E51" s="8">
        <v>45870</v>
      </c>
      <c r="F51" s="8">
        <v>45872</v>
      </c>
      <c r="G51" s="7">
        <v>850</v>
      </c>
      <c r="H51" s="7">
        <v>850</v>
      </c>
      <c r="I51" t="s">
        <v>131</v>
      </c>
    </row>
    <row r="52" spans="1:9">
      <c r="A52" t="s">
        <v>180</v>
      </c>
      <c r="B52" t="s">
        <v>102</v>
      </c>
      <c r="C52" t="s">
        <v>66</v>
      </c>
      <c r="D52" t="s">
        <v>6</v>
      </c>
      <c r="E52" s="8">
        <v>45901</v>
      </c>
      <c r="F52" s="8">
        <v>45911</v>
      </c>
      <c r="G52" s="7">
        <v>850</v>
      </c>
      <c r="H52" s="7">
        <v>850</v>
      </c>
      <c r="I52" t="s">
        <v>131</v>
      </c>
    </row>
    <row r="53" spans="1:9">
      <c r="A53" t="s">
        <v>181</v>
      </c>
      <c r="B53" t="s">
        <v>102</v>
      </c>
      <c r="C53" t="s">
        <v>66</v>
      </c>
      <c r="D53" t="s">
        <v>6</v>
      </c>
      <c r="E53" s="8">
        <v>45931</v>
      </c>
      <c r="F53" s="8">
        <v>45931</v>
      </c>
      <c r="G53" s="7">
        <v>850</v>
      </c>
      <c r="H53" s="7">
        <v>850</v>
      </c>
      <c r="I53" t="s">
        <v>127</v>
      </c>
    </row>
    <row r="54" spans="1:9">
      <c r="A54" t="s">
        <v>182</v>
      </c>
      <c r="B54" t="s">
        <v>102</v>
      </c>
      <c r="C54" t="s">
        <v>66</v>
      </c>
      <c r="D54" t="s">
        <v>6</v>
      </c>
      <c r="E54" s="8">
        <v>45962</v>
      </c>
      <c r="F54" s="8">
        <v>45977</v>
      </c>
      <c r="G54" s="7">
        <v>850</v>
      </c>
      <c r="H54" s="7">
        <v>850</v>
      </c>
      <c r="I54" t="s">
        <v>131</v>
      </c>
    </row>
    <row r="55" spans="1:9">
      <c r="A55" t="s">
        <v>183</v>
      </c>
      <c r="B55" t="s">
        <v>102</v>
      </c>
      <c r="C55" t="s">
        <v>66</v>
      </c>
      <c r="D55" t="s">
        <v>6</v>
      </c>
      <c r="E55" s="8">
        <v>45992</v>
      </c>
      <c r="F55" s="8">
        <v>45997</v>
      </c>
      <c r="G55" s="7">
        <v>850</v>
      </c>
      <c r="H55" s="7">
        <v>850</v>
      </c>
      <c r="I55" t="s">
        <v>131</v>
      </c>
    </row>
    <row r="56" spans="1:9">
      <c r="A56" t="s">
        <v>184</v>
      </c>
      <c r="B56" t="s">
        <v>104</v>
      </c>
      <c r="C56" t="s">
        <v>70</v>
      </c>
      <c r="D56" t="s">
        <v>6</v>
      </c>
      <c r="E56" s="8">
        <v>45658</v>
      </c>
      <c r="F56" s="8">
        <v>45658</v>
      </c>
      <c r="G56" s="7">
        <v>1250</v>
      </c>
      <c r="H56" s="7">
        <v>1250</v>
      </c>
      <c r="I56" t="s">
        <v>127</v>
      </c>
    </row>
    <row r="57" spans="1:9">
      <c r="A57" t="s">
        <v>185</v>
      </c>
      <c r="B57" t="s">
        <v>104</v>
      </c>
      <c r="C57" t="s">
        <v>70</v>
      </c>
      <c r="D57" t="s">
        <v>6</v>
      </c>
      <c r="E57" s="8">
        <v>45689</v>
      </c>
      <c r="F57" s="8">
        <v>45689</v>
      </c>
      <c r="G57" s="7">
        <v>1250</v>
      </c>
      <c r="H57" s="7">
        <v>1250</v>
      </c>
      <c r="I57" t="s">
        <v>127</v>
      </c>
    </row>
    <row r="58" spans="1:9">
      <c r="A58" t="s">
        <v>186</v>
      </c>
      <c r="B58" t="s">
        <v>104</v>
      </c>
      <c r="C58" t="s">
        <v>70</v>
      </c>
      <c r="D58" t="s">
        <v>6</v>
      </c>
      <c r="E58" s="8">
        <v>45717</v>
      </c>
      <c r="F58" s="8">
        <v>45722</v>
      </c>
      <c r="G58" s="7">
        <v>1250</v>
      </c>
      <c r="H58" s="7">
        <v>1250</v>
      </c>
      <c r="I58" t="s">
        <v>131</v>
      </c>
    </row>
    <row r="59" spans="1:9">
      <c r="A59" t="s">
        <v>187</v>
      </c>
      <c r="B59" t="s">
        <v>104</v>
      </c>
      <c r="C59" t="s">
        <v>70</v>
      </c>
      <c r="D59" t="s">
        <v>6</v>
      </c>
      <c r="E59" s="8">
        <v>45748</v>
      </c>
      <c r="F59" s="8">
        <v>45753</v>
      </c>
      <c r="G59" s="7">
        <v>1250</v>
      </c>
      <c r="H59" s="7">
        <v>1250</v>
      </c>
      <c r="I59" t="s">
        <v>131</v>
      </c>
    </row>
    <row r="60" spans="1:9">
      <c r="A60" t="s">
        <v>188</v>
      </c>
      <c r="B60" t="s">
        <v>104</v>
      </c>
      <c r="C60" t="s">
        <v>70</v>
      </c>
      <c r="D60" t="s">
        <v>6</v>
      </c>
      <c r="E60" s="8">
        <v>45778</v>
      </c>
      <c r="F60" s="8">
        <v>45793</v>
      </c>
      <c r="G60" s="7">
        <v>1250</v>
      </c>
      <c r="H60" s="7">
        <v>1250</v>
      </c>
      <c r="I60" t="s">
        <v>131</v>
      </c>
    </row>
    <row r="61" spans="1:9">
      <c r="A61" t="s">
        <v>189</v>
      </c>
      <c r="B61" t="s">
        <v>104</v>
      </c>
      <c r="C61" t="s">
        <v>70</v>
      </c>
      <c r="D61" t="s">
        <v>6</v>
      </c>
      <c r="E61" s="8">
        <v>45809</v>
      </c>
      <c r="F61" s="8">
        <v>45811</v>
      </c>
      <c r="G61" s="7">
        <v>1250</v>
      </c>
      <c r="H61" s="7">
        <v>1250</v>
      </c>
      <c r="I61" t="s">
        <v>131</v>
      </c>
    </row>
    <row r="62" spans="1:9">
      <c r="A62" t="s">
        <v>190</v>
      </c>
      <c r="B62" t="s">
        <v>104</v>
      </c>
      <c r="C62" t="s">
        <v>70</v>
      </c>
      <c r="D62" t="s">
        <v>6</v>
      </c>
      <c r="E62" s="8">
        <v>45839</v>
      </c>
      <c r="F62" s="8"/>
      <c r="G62" s="7">
        <v>1250</v>
      </c>
      <c r="H62" s="7">
        <v>0</v>
      </c>
      <c r="I62" t="s">
        <v>171</v>
      </c>
    </row>
    <row r="63" spans="1:9">
      <c r="A63" t="s">
        <v>191</v>
      </c>
      <c r="B63" t="s">
        <v>104</v>
      </c>
      <c r="C63" t="s">
        <v>70</v>
      </c>
      <c r="D63" t="s">
        <v>6</v>
      </c>
      <c r="E63" s="8">
        <v>45870</v>
      </c>
      <c r="F63" s="8">
        <v>45872</v>
      </c>
      <c r="G63" s="7">
        <v>1250</v>
      </c>
      <c r="H63" s="7">
        <v>1250</v>
      </c>
      <c r="I63" t="s">
        <v>131</v>
      </c>
    </row>
    <row r="64" spans="1:9">
      <c r="A64" t="s">
        <v>192</v>
      </c>
      <c r="B64" t="s">
        <v>106</v>
      </c>
      <c r="C64" t="s">
        <v>72</v>
      </c>
      <c r="D64" t="s">
        <v>6</v>
      </c>
      <c r="E64" s="8">
        <v>45658</v>
      </c>
      <c r="F64" s="8">
        <v>45660</v>
      </c>
      <c r="G64" s="7">
        <v>1250</v>
      </c>
      <c r="H64" s="7">
        <v>1250</v>
      </c>
      <c r="I64" t="s">
        <v>131</v>
      </c>
    </row>
    <row r="65" spans="1:9">
      <c r="A65" t="s">
        <v>193</v>
      </c>
      <c r="B65" t="s">
        <v>106</v>
      </c>
      <c r="C65" t="s">
        <v>72</v>
      </c>
      <c r="D65" t="s">
        <v>6</v>
      </c>
      <c r="E65" s="8">
        <v>45689</v>
      </c>
      <c r="F65" s="8">
        <v>45699</v>
      </c>
      <c r="G65" s="7">
        <v>1250</v>
      </c>
      <c r="H65" s="7">
        <v>1250</v>
      </c>
      <c r="I65" t="s">
        <v>131</v>
      </c>
    </row>
    <row r="66" spans="1:9">
      <c r="A66" t="s">
        <v>194</v>
      </c>
      <c r="B66" t="s">
        <v>106</v>
      </c>
      <c r="C66" t="s">
        <v>72</v>
      </c>
      <c r="D66" t="s">
        <v>6</v>
      </c>
      <c r="E66" s="8">
        <v>45717</v>
      </c>
      <c r="F66" s="8">
        <v>45727</v>
      </c>
      <c r="G66" s="7">
        <v>1250</v>
      </c>
      <c r="H66" s="7">
        <v>1250</v>
      </c>
      <c r="I66" t="s">
        <v>131</v>
      </c>
    </row>
    <row r="67" spans="1:9">
      <c r="A67" t="s">
        <v>195</v>
      </c>
      <c r="B67" t="s">
        <v>106</v>
      </c>
      <c r="C67" t="s">
        <v>72</v>
      </c>
      <c r="D67" t="s">
        <v>6</v>
      </c>
      <c r="E67" s="8">
        <v>45748</v>
      </c>
      <c r="F67" s="8">
        <v>45748</v>
      </c>
      <c r="G67" s="7">
        <v>1250</v>
      </c>
      <c r="H67" s="7">
        <v>1250</v>
      </c>
      <c r="I67" t="s">
        <v>127</v>
      </c>
    </row>
    <row r="68" spans="1:9">
      <c r="A68" t="s">
        <v>196</v>
      </c>
      <c r="B68" t="s">
        <v>106</v>
      </c>
      <c r="C68" t="s">
        <v>72</v>
      </c>
      <c r="D68" t="s">
        <v>6</v>
      </c>
      <c r="E68" s="8">
        <v>45778</v>
      </c>
      <c r="F68" s="8">
        <v>45783</v>
      </c>
      <c r="G68" s="7">
        <v>1250</v>
      </c>
      <c r="H68" s="7">
        <v>937.5</v>
      </c>
      <c r="I68" t="s">
        <v>152</v>
      </c>
    </row>
    <row r="69" spans="1:9">
      <c r="A69" t="s">
        <v>197</v>
      </c>
      <c r="B69" t="s">
        <v>106</v>
      </c>
      <c r="C69" t="s">
        <v>72</v>
      </c>
      <c r="D69" t="s">
        <v>6</v>
      </c>
      <c r="E69" s="8">
        <v>45809</v>
      </c>
      <c r="F69" s="8">
        <v>45814</v>
      </c>
      <c r="G69" s="7">
        <v>1250</v>
      </c>
      <c r="H69" s="7">
        <v>1250</v>
      </c>
      <c r="I69" t="s">
        <v>131</v>
      </c>
    </row>
    <row r="70" spans="1:9">
      <c r="A70" t="s">
        <v>198</v>
      </c>
      <c r="B70" t="s">
        <v>108</v>
      </c>
      <c r="C70" t="s">
        <v>74</v>
      </c>
      <c r="D70" t="s">
        <v>6</v>
      </c>
      <c r="E70" s="8">
        <v>45658</v>
      </c>
      <c r="F70" s="8">
        <v>45663</v>
      </c>
      <c r="G70" s="7">
        <v>1650</v>
      </c>
      <c r="H70" s="7">
        <v>1650</v>
      </c>
      <c r="I70" t="s">
        <v>131</v>
      </c>
    </row>
    <row r="71" spans="1:9">
      <c r="A71" t="s">
        <v>199</v>
      </c>
      <c r="B71" t="s">
        <v>108</v>
      </c>
      <c r="C71" t="s">
        <v>74</v>
      </c>
      <c r="D71" t="s">
        <v>6</v>
      </c>
      <c r="E71" s="8">
        <v>45689</v>
      </c>
      <c r="F71" s="8">
        <v>45689</v>
      </c>
      <c r="G71" s="7">
        <v>1650</v>
      </c>
      <c r="H71" s="7">
        <v>1650</v>
      </c>
      <c r="I71" t="s">
        <v>127</v>
      </c>
    </row>
    <row r="72" spans="1:9">
      <c r="A72" t="s">
        <v>200</v>
      </c>
      <c r="B72" t="s">
        <v>108</v>
      </c>
      <c r="C72" t="s">
        <v>74</v>
      </c>
      <c r="D72" t="s">
        <v>6</v>
      </c>
      <c r="E72" s="8">
        <v>45717</v>
      </c>
      <c r="F72" s="8">
        <v>45717</v>
      </c>
      <c r="G72" s="7">
        <v>1650</v>
      </c>
      <c r="H72" s="7">
        <v>1650</v>
      </c>
      <c r="I72" t="s">
        <v>127</v>
      </c>
    </row>
    <row r="73" spans="1:9">
      <c r="A73" t="s">
        <v>201</v>
      </c>
      <c r="B73" t="s">
        <v>108</v>
      </c>
      <c r="C73" t="s">
        <v>74</v>
      </c>
      <c r="D73" t="s">
        <v>6</v>
      </c>
      <c r="E73" s="8">
        <v>45748</v>
      </c>
      <c r="F73" s="8">
        <v>45748</v>
      </c>
      <c r="G73" s="7">
        <v>1650</v>
      </c>
      <c r="H73" s="7">
        <v>1650</v>
      </c>
      <c r="I73" t="s">
        <v>127</v>
      </c>
    </row>
    <row r="74" spans="1:9">
      <c r="A74" t="s">
        <v>202</v>
      </c>
      <c r="B74" t="s">
        <v>108</v>
      </c>
      <c r="C74" t="s">
        <v>74</v>
      </c>
      <c r="D74" t="s">
        <v>6</v>
      </c>
      <c r="E74" s="8">
        <v>45778</v>
      </c>
      <c r="F74" s="8">
        <v>45783</v>
      </c>
      <c r="G74" s="7">
        <v>1650</v>
      </c>
      <c r="H74" s="7">
        <v>1650</v>
      </c>
      <c r="I74" t="s">
        <v>131</v>
      </c>
    </row>
    <row r="75" spans="1:9">
      <c r="A75" t="s">
        <v>203</v>
      </c>
      <c r="B75" t="s">
        <v>108</v>
      </c>
      <c r="C75" t="s">
        <v>74</v>
      </c>
      <c r="D75" t="s">
        <v>6</v>
      </c>
      <c r="E75" s="8">
        <v>45809</v>
      </c>
      <c r="F75" s="8">
        <v>45811</v>
      </c>
      <c r="G75" s="7">
        <v>1650</v>
      </c>
      <c r="H75" s="7">
        <v>1650</v>
      </c>
      <c r="I75" t="s">
        <v>131</v>
      </c>
    </row>
    <row r="76" spans="1:9">
      <c r="A76" t="s">
        <v>204</v>
      </c>
      <c r="B76" t="s">
        <v>108</v>
      </c>
      <c r="C76" t="s">
        <v>74</v>
      </c>
      <c r="D76" t="s">
        <v>6</v>
      </c>
      <c r="E76" s="8">
        <v>45839</v>
      </c>
      <c r="F76" s="8">
        <v>45839</v>
      </c>
      <c r="G76" s="7">
        <v>1650</v>
      </c>
      <c r="H76" s="7">
        <v>1650</v>
      </c>
      <c r="I76" t="s">
        <v>127</v>
      </c>
    </row>
    <row r="77" spans="1:9">
      <c r="A77" t="s">
        <v>205</v>
      </c>
      <c r="B77" t="s">
        <v>108</v>
      </c>
      <c r="C77" t="s">
        <v>74</v>
      </c>
      <c r="D77" t="s">
        <v>6</v>
      </c>
      <c r="E77" s="8">
        <v>45870</v>
      </c>
      <c r="F77" s="8">
        <v>45880</v>
      </c>
      <c r="G77" s="7">
        <v>1650</v>
      </c>
      <c r="H77" s="7">
        <v>1650</v>
      </c>
      <c r="I77" t="s">
        <v>131</v>
      </c>
    </row>
    <row r="78" spans="1:9">
      <c r="A78" t="s">
        <v>206</v>
      </c>
      <c r="B78" t="s">
        <v>108</v>
      </c>
      <c r="C78" t="s">
        <v>74</v>
      </c>
      <c r="D78" t="s">
        <v>6</v>
      </c>
      <c r="E78" s="8">
        <v>45901</v>
      </c>
      <c r="F78" s="8">
        <v>45901</v>
      </c>
      <c r="G78" s="7">
        <v>1650</v>
      </c>
      <c r="H78" s="7">
        <v>1650</v>
      </c>
      <c r="I78" t="s">
        <v>127</v>
      </c>
    </row>
    <row r="79" spans="1:9">
      <c r="A79" t="s">
        <v>207</v>
      </c>
      <c r="B79" t="s">
        <v>108</v>
      </c>
      <c r="C79" t="s">
        <v>74</v>
      </c>
      <c r="D79" t="s">
        <v>6</v>
      </c>
      <c r="E79" s="8">
        <v>45931</v>
      </c>
      <c r="F79" s="8">
        <v>45931</v>
      </c>
      <c r="G79" s="7">
        <v>1650</v>
      </c>
      <c r="H79" s="7">
        <v>1650</v>
      </c>
      <c r="I79" t="s">
        <v>127</v>
      </c>
    </row>
    <row r="80" spans="1:9">
      <c r="A80" t="s">
        <v>208</v>
      </c>
      <c r="B80" t="s">
        <v>110</v>
      </c>
      <c r="C80" t="s">
        <v>76</v>
      </c>
      <c r="D80" t="s">
        <v>410</v>
      </c>
      <c r="E80" s="8">
        <v>45658</v>
      </c>
      <c r="F80" s="8">
        <v>45658</v>
      </c>
      <c r="G80" s="7">
        <v>950</v>
      </c>
      <c r="H80" s="7">
        <v>950</v>
      </c>
      <c r="I80" t="s">
        <v>127</v>
      </c>
    </row>
    <row r="81" spans="1:9">
      <c r="A81" t="s">
        <v>209</v>
      </c>
      <c r="B81" t="s">
        <v>110</v>
      </c>
      <c r="C81" t="s">
        <v>76</v>
      </c>
      <c r="D81" t="s">
        <v>410</v>
      </c>
      <c r="E81" s="8">
        <v>45689</v>
      </c>
      <c r="F81" s="8">
        <v>45689</v>
      </c>
      <c r="G81" s="7">
        <v>950</v>
      </c>
      <c r="H81" s="7">
        <v>950</v>
      </c>
      <c r="I81" t="s">
        <v>127</v>
      </c>
    </row>
    <row r="82" spans="1:9">
      <c r="A82" t="s">
        <v>210</v>
      </c>
      <c r="B82" t="s">
        <v>110</v>
      </c>
      <c r="C82" t="s">
        <v>76</v>
      </c>
      <c r="D82" t="s">
        <v>13</v>
      </c>
      <c r="E82" s="8">
        <v>45717</v>
      </c>
      <c r="F82" s="8">
        <v>45717</v>
      </c>
      <c r="G82" s="7">
        <v>950</v>
      </c>
      <c r="H82" s="7">
        <v>950</v>
      </c>
      <c r="I82" t="s">
        <v>127</v>
      </c>
    </row>
    <row r="83" spans="1:9">
      <c r="A83" t="s">
        <v>211</v>
      </c>
      <c r="B83" t="s">
        <v>110</v>
      </c>
      <c r="C83" t="s">
        <v>76</v>
      </c>
      <c r="D83" t="s">
        <v>13</v>
      </c>
      <c r="E83" s="8">
        <v>45748</v>
      </c>
      <c r="F83" s="8">
        <v>45748</v>
      </c>
      <c r="G83" s="7">
        <v>950</v>
      </c>
      <c r="H83" s="7">
        <v>950</v>
      </c>
      <c r="I83" t="s">
        <v>127</v>
      </c>
    </row>
    <row r="84" spans="1:9">
      <c r="A84" t="s">
        <v>212</v>
      </c>
      <c r="B84" t="s">
        <v>110</v>
      </c>
      <c r="C84" t="s">
        <v>76</v>
      </c>
      <c r="D84" t="s">
        <v>13</v>
      </c>
      <c r="E84" s="8">
        <v>45778</v>
      </c>
      <c r="F84" s="8">
        <v>45778</v>
      </c>
      <c r="G84" s="7">
        <v>950</v>
      </c>
      <c r="H84" s="7">
        <v>950</v>
      </c>
      <c r="I84" t="s">
        <v>127</v>
      </c>
    </row>
    <row r="85" spans="1:9">
      <c r="A85" t="s">
        <v>213</v>
      </c>
      <c r="B85" t="s">
        <v>110</v>
      </c>
      <c r="C85" t="s">
        <v>76</v>
      </c>
      <c r="D85" t="s">
        <v>13</v>
      </c>
      <c r="E85" s="8">
        <v>45809</v>
      </c>
      <c r="F85" s="8">
        <v>45809</v>
      </c>
      <c r="G85" s="7">
        <v>950</v>
      </c>
      <c r="H85" s="7">
        <v>950</v>
      </c>
      <c r="I85" t="s">
        <v>127</v>
      </c>
    </row>
    <row r="86" spans="1:9">
      <c r="A86" t="s">
        <v>214</v>
      </c>
      <c r="B86" t="s">
        <v>112</v>
      </c>
      <c r="C86" t="s">
        <v>78</v>
      </c>
      <c r="D86" t="s">
        <v>13</v>
      </c>
      <c r="E86" s="8">
        <v>45658</v>
      </c>
      <c r="F86" s="8">
        <v>45668</v>
      </c>
      <c r="G86" s="7">
        <v>850</v>
      </c>
      <c r="H86" s="7">
        <v>850</v>
      </c>
      <c r="I86" t="s">
        <v>131</v>
      </c>
    </row>
    <row r="87" spans="1:9">
      <c r="A87" t="s">
        <v>215</v>
      </c>
      <c r="B87" t="s">
        <v>112</v>
      </c>
      <c r="C87" t="s">
        <v>78</v>
      </c>
      <c r="D87" t="s">
        <v>13</v>
      </c>
      <c r="E87" s="8">
        <v>45689</v>
      </c>
      <c r="F87" s="8">
        <v>45694</v>
      </c>
      <c r="G87" s="7">
        <v>850</v>
      </c>
      <c r="H87" s="7">
        <v>850</v>
      </c>
      <c r="I87" t="s">
        <v>131</v>
      </c>
    </row>
    <row r="88" spans="1:9">
      <c r="A88" t="s">
        <v>216</v>
      </c>
      <c r="B88" t="s">
        <v>112</v>
      </c>
      <c r="C88" t="s">
        <v>78</v>
      </c>
      <c r="D88" t="s">
        <v>13</v>
      </c>
      <c r="E88" s="8">
        <v>45717</v>
      </c>
      <c r="F88" s="8">
        <v>45717</v>
      </c>
      <c r="G88" s="7">
        <v>850</v>
      </c>
      <c r="H88" s="7">
        <v>850</v>
      </c>
      <c r="I88" t="s">
        <v>127</v>
      </c>
    </row>
    <row r="89" spans="1:9">
      <c r="A89" t="s">
        <v>217</v>
      </c>
      <c r="B89" t="s">
        <v>112</v>
      </c>
      <c r="C89" t="s">
        <v>78</v>
      </c>
      <c r="D89" t="s">
        <v>13</v>
      </c>
      <c r="E89" s="8">
        <v>45748</v>
      </c>
      <c r="F89" s="8">
        <v>45758</v>
      </c>
      <c r="G89" s="7">
        <v>850</v>
      </c>
      <c r="H89" s="7">
        <v>850</v>
      </c>
      <c r="I89" t="s">
        <v>131</v>
      </c>
    </row>
    <row r="90" spans="1:9">
      <c r="A90" t="s">
        <v>218</v>
      </c>
      <c r="B90" t="s">
        <v>112</v>
      </c>
      <c r="C90" t="s">
        <v>78</v>
      </c>
      <c r="D90" t="s">
        <v>13</v>
      </c>
      <c r="E90" s="8">
        <v>45778</v>
      </c>
      <c r="F90" s="8">
        <v>45783</v>
      </c>
      <c r="G90" s="7">
        <v>850</v>
      </c>
      <c r="H90" s="7">
        <v>850</v>
      </c>
      <c r="I90" t="s">
        <v>131</v>
      </c>
    </row>
    <row r="91" spans="1:9">
      <c r="A91" t="s">
        <v>219</v>
      </c>
      <c r="B91" t="s">
        <v>112</v>
      </c>
      <c r="C91" t="s">
        <v>78</v>
      </c>
      <c r="D91" t="s">
        <v>13</v>
      </c>
      <c r="E91" s="8">
        <v>45809</v>
      </c>
      <c r="F91" s="8">
        <v>45819</v>
      </c>
      <c r="G91" s="7">
        <v>850</v>
      </c>
      <c r="H91" s="7">
        <v>850</v>
      </c>
      <c r="I91" t="s">
        <v>131</v>
      </c>
    </row>
    <row r="92" spans="1:9">
      <c r="A92" t="s">
        <v>220</v>
      </c>
      <c r="B92" t="s">
        <v>112</v>
      </c>
      <c r="C92" t="s">
        <v>78</v>
      </c>
      <c r="D92" t="s">
        <v>13</v>
      </c>
      <c r="E92" s="8">
        <v>45839</v>
      </c>
      <c r="F92" s="8">
        <v>45841</v>
      </c>
      <c r="G92" s="7">
        <v>850</v>
      </c>
      <c r="H92" s="7">
        <v>850</v>
      </c>
      <c r="I92" t="s">
        <v>131</v>
      </c>
    </row>
    <row r="93" spans="1:9">
      <c r="A93" t="s">
        <v>221</v>
      </c>
      <c r="B93" t="s">
        <v>112</v>
      </c>
      <c r="C93" t="s">
        <v>78</v>
      </c>
      <c r="D93" t="s">
        <v>13</v>
      </c>
      <c r="E93" s="8">
        <v>45870</v>
      </c>
      <c r="F93" s="8">
        <v>45870</v>
      </c>
      <c r="G93" s="7">
        <v>850</v>
      </c>
      <c r="H93" s="7">
        <v>850</v>
      </c>
      <c r="I93" t="s">
        <v>127</v>
      </c>
    </row>
    <row r="94" spans="1:9">
      <c r="A94" t="s">
        <v>222</v>
      </c>
      <c r="B94" t="s">
        <v>112</v>
      </c>
      <c r="C94" t="s">
        <v>78</v>
      </c>
      <c r="D94" t="s">
        <v>13</v>
      </c>
      <c r="E94" s="8">
        <v>45901</v>
      </c>
      <c r="F94" s="8">
        <v>45901</v>
      </c>
      <c r="G94" s="7">
        <v>850</v>
      </c>
      <c r="H94" s="7">
        <v>637.5</v>
      </c>
      <c r="I94" t="s">
        <v>152</v>
      </c>
    </row>
    <row r="95" spans="1:9">
      <c r="A95" t="s">
        <v>223</v>
      </c>
      <c r="B95" t="s">
        <v>112</v>
      </c>
      <c r="C95" t="s">
        <v>78</v>
      </c>
      <c r="D95" t="s">
        <v>13</v>
      </c>
      <c r="E95" s="8">
        <v>45931</v>
      </c>
      <c r="F95" s="8">
        <v>45941</v>
      </c>
      <c r="G95" s="7">
        <v>850</v>
      </c>
      <c r="H95" s="7">
        <v>850</v>
      </c>
      <c r="I95" t="s">
        <v>131</v>
      </c>
    </row>
    <row r="96" spans="1:9">
      <c r="A96" t="s">
        <v>224</v>
      </c>
      <c r="B96" t="s">
        <v>112</v>
      </c>
      <c r="C96" t="s">
        <v>78</v>
      </c>
      <c r="D96" t="s">
        <v>13</v>
      </c>
      <c r="E96" s="8">
        <v>45962</v>
      </c>
      <c r="F96" s="8">
        <v>45964</v>
      </c>
      <c r="G96" s="7">
        <v>850</v>
      </c>
      <c r="H96" s="7">
        <v>850</v>
      </c>
      <c r="I96" t="s">
        <v>131</v>
      </c>
    </row>
    <row r="97" spans="1:9">
      <c r="A97" t="s">
        <v>225</v>
      </c>
      <c r="B97" t="s">
        <v>112</v>
      </c>
      <c r="C97" t="s">
        <v>78</v>
      </c>
      <c r="D97" t="s">
        <v>13</v>
      </c>
      <c r="E97" s="8">
        <v>45992</v>
      </c>
      <c r="F97" s="8">
        <v>45992</v>
      </c>
      <c r="G97" s="7">
        <v>850</v>
      </c>
      <c r="H97" s="7">
        <v>850</v>
      </c>
      <c r="I97" t="s">
        <v>127</v>
      </c>
    </row>
    <row r="98" spans="1:9">
      <c r="A98" t="s">
        <v>226</v>
      </c>
      <c r="B98" t="s">
        <v>114</v>
      </c>
      <c r="C98" t="s">
        <v>79</v>
      </c>
      <c r="D98" t="s">
        <v>13</v>
      </c>
      <c r="E98" s="8">
        <v>45658</v>
      </c>
      <c r="F98" s="8">
        <v>45668</v>
      </c>
      <c r="G98" s="7">
        <v>1250</v>
      </c>
      <c r="H98" s="7">
        <v>1250</v>
      </c>
      <c r="I98" t="s">
        <v>131</v>
      </c>
    </row>
    <row r="99" spans="1:9">
      <c r="A99" t="s">
        <v>227</v>
      </c>
      <c r="B99" t="s">
        <v>114</v>
      </c>
      <c r="C99" t="s">
        <v>79</v>
      </c>
      <c r="D99" t="s">
        <v>13</v>
      </c>
      <c r="E99" s="8">
        <v>45689</v>
      </c>
      <c r="F99" s="8">
        <v>45704</v>
      </c>
      <c r="G99" s="7">
        <v>1250</v>
      </c>
      <c r="H99" s="7">
        <v>1250</v>
      </c>
      <c r="I99" t="s">
        <v>131</v>
      </c>
    </row>
    <row r="100" spans="1:9">
      <c r="A100" t="s">
        <v>228</v>
      </c>
      <c r="B100" t="s">
        <v>114</v>
      </c>
      <c r="C100" t="s">
        <v>79</v>
      </c>
      <c r="D100" t="s">
        <v>13</v>
      </c>
      <c r="E100" s="8">
        <v>45717</v>
      </c>
      <c r="F100" s="8">
        <v>45719</v>
      </c>
      <c r="G100" s="7">
        <v>1250</v>
      </c>
      <c r="H100" s="7">
        <v>1250</v>
      </c>
      <c r="I100" t="s">
        <v>131</v>
      </c>
    </row>
    <row r="101" spans="1:9">
      <c r="A101" t="s">
        <v>229</v>
      </c>
      <c r="B101" t="s">
        <v>114</v>
      </c>
      <c r="C101" t="s">
        <v>79</v>
      </c>
      <c r="D101" t="s">
        <v>13</v>
      </c>
      <c r="E101" s="8">
        <v>45748</v>
      </c>
      <c r="F101" s="8">
        <v>45763</v>
      </c>
      <c r="G101" s="7">
        <v>1250</v>
      </c>
      <c r="H101" s="7">
        <v>1250</v>
      </c>
      <c r="I101" t="s">
        <v>131</v>
      </c>
    </row>
    <row r="102" spans="1:9">
      <c r="A102" t="s">
        <v>230</v>
      </c>
      <c r="B102" t="s">
        <v>114</v>
      </c>
      <c r="C102" t="s">
        <v>79</v>
      </c>
      <c r="D102" t="s">
        <v>13</v>
      </c>
      <c r="E102" s="8">
        <v>45778</v>
      </c>
      <c r="F102" s="8">
        <v>45778</v>
      </c>
      <c r="G102" s="7">
        <v>1250</v>
      </c>
      <c r="H102" s="7">
        <v>1250</v>
      </c>
      <c r="I102" t="s">
        <v>127</v>
      </c>
    </row>
    <row r="103" spans="1:9">
      <c r="A103" t="s">
        <v>231</v>
      </c>
      <c r="B103" t="s">
        <v>114</v>
      </c>
      <c r="C103" t="s">
        <v>79</v>
      </c>
      <c r="D103" t="s">
        <v>13</v>
      </c>
      <c r="E103" s="8">
        <v>45809</v>
      </c>
      <c r="F103" s="8">
        <v>45809</v>
      </c>
      <c r="G103" s="7">
        <v>1250</v>
      </c>
      <c r="H103" s="7">
        <v>1250</v>
      </c>
      <c r="I103" t="s">
        <v>127</v>
      </c>
    </row>
    <row r="104" spans="1:9">
      <c r="A104" t="s">
        <v>232</v>
      </c>
      <c r="B104" t="s">
        <v>114</v>
      </c>
      <c r="C104" t="s">
        <v>79</v>
      </c>
      <c r="D104" t="s">
        <v>13</v>
      </c>
      <c r="E104" s="8">
        <v>45839</v>
      </c>
      <c r="F104" s="8">
        <v>45854</v>
      </c>
      <c r="G104" s="7">
        <v>1250</v>
      </c>
      <c r="H104" s="7">
        <v>1250</v>
      </c>
      <c r="I104" t="s">
        <v>131</v>
      </c>
    </row>
    <row r="105" spans="1:9">
      <c r="A105" t="s">
        <v>233</v>
      </c>
      <c r="B105" t="s">
        <v>114</v>
      </c>
      <c r="C105" t="s">
        <v>79</v>
      </c>
      <c r="D105" t="s">
        <v>13</v>
      </c>
      <c r="E105" s="8">
        <v>45870</v>
      </c>
      <c r="F105" s="8">
        <v>45870</v>
      </c>
      <c r="G105" s="7">
        <v>1250</v>
      </c>
      <c r="H105" s="7">
        <v>1250</v>
      </c>
      <c r="I105" t="s">
        <v>127</v>
      </c>
    </row>
    <row r="106" spans="1:9">
      <c r="A106" t="s">
        <v>234</v>
      </c>
      <c r="B106" t="s">
        <v>114</v>
      </c>
      <c r="C106" t="s">
        <v>79</v>
      </c>
      <c r="D106" t="s">
        <v>13</v>
      </c>
      <c r="E106" s="8">
        <v>45901</v>
      </c>
      <c r="F106" s="8">
        <v>45901</v>
      </c>
      <c r="G106" s="7">
        <v>1250</v>
      </c>
      <c r="H106" s="7">
        <v>1250</v>
      </c>
      <c r="I106" t="s">
        <v>127</v>
      </c>
    </row>
    <row r="107" spans="1:9">
      <c r="A107" t="s">
        <v>235</v>
      </c>
      <c r="B107" t="s">
        <v>114</v>
      </c>
      <c r="C107" t="s">
        <v>79</v>
      </c>
      <c r="D107" t="s">
        <v>13</v>
      </c>
      <c r="E107" s="8">
        <v>45931</v>
      </c>
      <c r="F107" s="8">
        <v>45933</v>
      </c>
      <c r="G107" s="7">
        <v>1250</v>
      </c>
      <c r="H107" s="7">
        <v>937.5</v>
      </c>
      <c r="I107" t="s">
        <v>152</v>
      </c>
    </row>
    <row r="108" spans="1:9">
      <c r="A108" t="s">
        <v>236</v>
      </c>
      <c r="B108" t="s">
        <v>114</v>
      </c>
      <c r="C108" t="s">
        <v>79</v>
      </c>
      <c r="D108" t="s">
        <v>13</v>
      </c>
      <c r="E108" s="8">
        <v>45962</v>
      </c>
      <c r="F108" s="8">
        <v>45964</v>
      </c>
      <c r="G108" s="7">
        <v>1250</v>
      </c>
      <c r="H108" s="7">
        <v>1250</v>
      </c>
      <c r="I108" t="s">
        <v>131</v>
      </c>
    </row>
    <row r="109" spans="1:9">
      <c r="A109" t="s">
        <v>237</v>
      </c>
      <c r="B109" t="s">
        <v>116</v>
      </c>
      <c r="C109" t="s">
        <v>80</v>
      </c>
      <c r="D109" t="s">
        <v>13</v>
      </c>
      <c r="E109" s="8">
        <v>45658</v>
      </c>
      <c r="F109" s="8">
        <v>45673</v>
      </c>
      <c r="G109" s="7">
        <v>1250</v>
      </c>
      <c r="H109" s="7">
        <v>1250</v>
      </c>
      <c r="I109" t="s">
        <v>131</v>
      </c>
    </row>
    <row r="110" spans="1:9">
      <c r="A110" t="s">
        <v>238</v>
      </c>
      <c r="B110" t="s">
        <v>116</v>
      </c>
      <c r="C110" t="s">
        <v>80</v>
      </c>
      <c r="D110" t="s">
        <v>13</v>
      </c>
      <c r="E110" s="8">
        <v>45689</v>
      </c>
      <c r="F110" s="8">
        <v>45699</v>
      </c>
      <c r="G110" s="7">
        <v>1250</v>
      </c>
      <c r="H110" s="7">
        <v>1250</v>
      </c>
      <c r="I110" t="s">
        <v>131</v>
      </c>
    </row>
    <row r="111" spans="1:9">
      <c r="A111" t="s">
        <v>239</v>
      </c>
      <c r="B111" t="s">
        <v>116</v>
      </c>
      <c r="C111" t="s">
        <v>80</v>
      </c>
      <c r="D111" t="s">
        <v>13</v>
      </c>
      <c r="E111" s="8">
        <v>45717</v>
      </c>
      <c r="F111" s="8">
        <v>45732</v>
      </c>
      <c r="G111" s="7">
        <v>1250</v>
      </c>
      <c r="H111" s="7">
        <v>1250</v>
      </c>
      <c r="I111" t="s">
        <v>131</v>
      </c>
    </row>
    <row r="112" spans="1:9">
      <c r="A112" t="s">
        <v>240</v>
      </c>
      <c r="B112" t="s">
        <v>116</v>
      </c>
      <c r="C112" t="s">
        <v>80</v>
      </c>
      <c r="D112" t="s">
        <v>13</v>
      </c>
      <c r="E112" s="8">
        <v>45748</v>
      </c>
      <c r="F112" s="8">
        <v>45750</v>
      </c>
      <c r="G112" s="7">
        <v>1250</v>
      </c>
      <c r="H112" s="7">
        <v>1250</v>
      </c>
      <c r="I112" t="s">
        <v>131</v>
      </c>
    </row>
    <row r="113" spans="1:9">
      <c r="A113" t="s">
        <v>241</v>
      </c>
      <c r="B113" t="s">
        <v>116</v>
      </c>
      <c r="C113" t="s">
        <v>80</v>
      </c>
      <c r="D113" t="s">
        <v>13</v>
      </c>
      <c r="E113" s="8">
        <v>45778</v>
      </c>
      <c r="F113" s="8"/>
      <c r="G113" s="7">
        <v>1250</v>
      </c>
      <c r="H113" s="7">
        <v>0</v>
      </c>
      <c r="I113" t="s">
        <v>171</v>
      </c>
    </row>
    <row r="114" spans="1:9">
      <c r="A114" t="s">
        <v>242</v>
      </c>
      <c r="B114" t="s">
        <v>116</v>
      </c>
      <c r="C114" t="s">
        <v>80</v>
      </c>
      <c r="D114" t="s">
        <v>13</v>
      </c>
      <c r="E114" s="8">
        <v>45809</v>
      </c>
      <c r="F114" s="8">
        <v>45809</v>
      </c>
      <c r="G114" s="7">
        <v>1250</v>
      </c>
      <c r="H114" s="7">
        <v>1250</v>
      </c>
      <c r="I114" t="s">
        <v>127</v>
      </c>
    </row>
    <row r="115" spans="1:9">
      <c r="A115" t="s">
        <v>243</v>
      </c>
      <c r="B115" t="s">
        <v>118</v>
      </c>
      <c r="C115" t="s">
        <v>81</v>
      </c>
      <c r="D115" t="s">
        <v>13</v>
      </c>
      <c r="E115" s="8">
        <v>45658</v>
      </c>
      <c r="F115" s="8">
        <v>45658</v>
      </c>
      <c r="G115" s="7">
        <v>1200</v>
      </c>
      <c r="H115" s="7">
        <v>1200</v>
      </c>
      <c r="I115" t="s">
        <v>127</v>
      </c>
    </row>
    <row r="116" spans="1:9">
      <c r="A116" t="s">
        <v>244</v>
      </c>
      <c r="B116" t="s">
        <v>118</v>
      </c>
      <c r="C116" t="s">
        <v>81</v>
      </c>
      <c r="D116" t="s">
        <v>13</v>
      </c>
      <c r="E116" s="8">
        <v>45689</v>
      </c>
      <c r="F116" s="8">
        <v>45699</v>
      </c>
      <c r="G116" s="7">
        <v>1200</v>
      </c>
      <c r="H116" s="7">
        <v>1200</v>
      </c>
      <c r="I116" t="s">
        <v>131</v>
      </c>
    </row>
    <row r="117" spans="1:9">
      <c r="A117" t="s">
        <v>245</v>
      </c>
      <c r="B117" t="s">
        <v>118</v>
      </c>
      <c r="C117" t="s">
        <v>81</v>
      </c>
      <c r="D117" t="s">
        <v>13</v>
      </c>
      <c r="E117" s="8">
        <v>45717</v>
      </c>
      <c r="F117" s="8">
        <v>45732</v>
      </c>
      <c r="G117" s="7">
        <v>1200</v>
      </c>
      <c r="H117" s="7">
        <v>1200</v>
      </c>
      <c r="I117" t="s">
        <v>131</v>
      </c>
    </row>
    <row r="118" spans="1:9">
      <c r="A118" t="s">
        <v>246</v>
      </c>
      <c r="B118" t="s">
        <v>118</v>
      </c>
      <c r="C118" t="s">
        <v>81</v>
      </c>
      <c r="D118" t="s">
        <v>13</v>
      </c>
      <c r="E118" s="8">
        <v>45748</v>
      </c>
      <c r="F118" s="8">
        <v>45748</v>
      </c>
      <c r="G118" s="7">
        <v>1200</v>
      </c>
      <c r="H118" s="7">
        <v>1200</v>
      </c>
      <c r="I118" t="s">
        <v>127</v>
      </c>
    </row>
    <row r="119" spans="1:9">
      <c r="A119" t="s">
        <v>247</v>
      </c>
      <c r="B119" t="s">
        <v>118</v>
      </c>
      <c r="C119" t="s">
        <v>81</v>
      </c>
      <c r="D119" t="s">
        <v>13</v>
      </c>
      <c r="E119" s="8">
        <v>45778</v>
      </c>
      <c r="F119" s="8">
        <v>45783</v>
      </c>
      <c r="G119" s="7">
        <v>1200</v>
      </c>
      <c r="H119" s="7">
        <v>1200</v>
      </c>
      <c r="I119" t="s">
        <v>131</v>
      </c>
    </row>
    <row r="120" spans="1:9">
      <c r="A120" t="s">
        <v>248</v>
      </c>
      <c r="B120" t="s">
        <v>118</v>
      </c>
      <c r="C120" t="s">
        <v>81</v>
      </c>
      <c r="D120" t="s">
        <v>13</v>
      </c>
      <c r="E120" s="8">
        <v>45809</v>
      </c>
      <c r="F120" s="8">
        <v>45809</v>
      </c>
      <c r="G120" s="7">
        <v>1200</v>
      </c>
      <c r="H120" s="7">
        <v>1200</v>
      </c>
      <c r="I120" t="s">
        <v>127</v>
      </c>
    </row>
    <row r="121" spans="1:9">
      <c r="A121" t="s">
        <v>249</v>
      </c>
      <c r="B121" t="s">
        <v>118</v>
      </c>
      <c r="C121" t="s">
        <v>81</v>
      </c>
      <c r="D121" t="s">
        <v>13</v>
      </c>
      <c r="E121" s="8">
        <v>45839</v>
      </c>
      <c r="F121" s="8">
        <v>45854</v>
      </c>
      <c r="G121" s="7">
        <v>1200</v>
      </c>
      <c r="H121" s="7">
        <v>1200</v>
      </c>
      <c r="I121" t="s">
        <v>131</v>
      </c>
    </row>
    <row r="122" spans="1:9">
      <c r="A122" t="s">
        <v>250</v>
      </c>
      <c r="B122" t="s">
        <v>118</v>
      </c>
      <c r="C122" t="s">
        <v>81</v>
      </c>
      <c r="D122" t="s">
        <v>13</v>
      </c>
      <c r="E122" s="8">
        <v>45870</v>
      </c>
      <c r="F122" s="8">
        <v>45875</v>
      </c>
      <c r="G122" s="7">
        <v>1200</v>
      </c>
      <c r="H122" s="7">
        <v>1200</v>
      </c>
      <c r="I122" t="s">
        <v>131</v>
      </c>
    </row>
    <row r="123" spans="1:9">
      <c r="A123" t="s">
        <v>251</v>
      </c>
      <c r="B123" t="s">
        <v>118</v>
      </c>
      <c r="C123" t="s">
        <v>81</v>
      </c>
      <c r="D123" t="s">
        <v>13</v>
      </c>
      <c r="E123" s="8">
        <v>45901</v>
      </c>
      <c r="F123" s="8">
        <v>45901</v>
      </c>
      <c r="G123" s="7">
        <v>1200</v>
      </c>
      <c r="H123" s="7">
        <v>1200</v>
      </c>
      <c r="I123" t="s">
        <v>127</v>
      </c>
    </row>
    <row r="124" spans="1:9">
      <c r="E124" s="8"/>
      <c r="F124" s="8"/>
    </row>
    <row r="125" spans="1:9">
      <c r="E125" s="8"/>
      <c r="F125" s="8"/>
    </row>
    <row r="126" spans="1:9">
      <c r="E126" s="8"/>
      <c r="F126" s="8"/>
    </row>
    <row r="127" spans="1:9">
      <c r="E127" s="8"/>
      <c r="F127" s="8"/>
    </row>
    <row r="128" spans="1:9">
      <c r="E128" s="8"/>
      <c r="F128" s="8"/>
    </row>
    <row r="129" spans="5:6">
      <c r="E129" s="8"/>
      <c r="F129" s="8"/>
    </row>
    <row r="130" spans="5:6">
      <c r="E130" s="8"/>
      <c r="F130" s="8"/>
    </row>
    <row r="131" spans="5:6">
      <c r="E131" s="8"/>
      <c r="F131" s="8"/>
    </row>
    <row r="132" spans="5:6">
      <c r="E132" s="8"/>
      <c r="F132" s="8"/>
    </row>
    <row r="133" spans="5:6">
      <c r="E133" s="8"/>
      <c r="F133" s="8"/>
    </row>
    <row r="134" spans="5:6">
      <c r="E134" s="8"/>
      <c r="F134" s="8"/>
    </row>
    <row r="135" spans="5:6">
      <c r="E135" s="8"/>
      <c r="F135" s="8"/>
    </row>
    <row r="136" spans="5:6">
      <c r="E136" s="8"/>
      <c r="F136" s="8"/>
    </row>
    <row r="137" spans="5:6">
      <c r="E137" s="8"/>
      <c r="F137" s="8"/>
    </row>
    <row r="138" spans="5:6">
      <c r="E138" s="8"/>
      <c r="F138" s="8"/>
    </row>
    <row r="139" spans="5:6">
      <c r="E139" s="8"/>
      <c r="F139" s="8"/>
    </row>
    <row r="140" spans="5:6">
      <c r="E140" s="8"/>
      <c r="F14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/>
  </sheetViews>
  <sheetFormatPr defaultRowHeight="13.8"/>
  <cols>
    <col min="1" max="1" width="16.59765625" customWidth="1"/>
    <col min="2" max="2" width="11.69921875" customWidth="1"/>
    <col min="3" max="3" width="6.8984375" customWidth="1"/>
    <col min="4" max="4" width="13.69921875" customWidth="1"/>
    <col min="5" max="5" width="13.09765625" customWidth="1"/>
    <col min="6" max="6" width="30.09765625" customWidth="1"/>
    <col min="7" max="7" width="18.8984375" customWidth="1"/>
    <col min="8" max="8" width="7.296875" customWidth="1"/>
    <col min="9" max="9" width="11.8984375" customWidth="1"/>
  </cols>
  <sheetData>
    <row r="1" spans="1:9">
      <c r="A1" s="2" t="s">
        <v>252</v>
      </c>
      <c r="B1" s="3" t="s">
        <v>22</v>
      </c>
      <c r="C1" s="3" t="s">
        <v>40</v>
      </c>
      <c r="D1" s="3" t="s">
        <v>253</v>
      </c>
      <c r="E1" s="3" t="s">
        <v>254</v>
      </c>
      <c r="F1" s="3" t="s">
        <v>255</v>
      </c>
      <c r="G1" s="3" t="s">
        <v>256</v>
      </c>
      <c r="H1" s="3" t="s">
        <v>257</v>
      </c>
      <c r="I1" s="4" t="s">
        <v>47</v>
      </c>
    </row>
    <row r="2" spans="1:9">
      <c r="A2" t="s">
        <v>258</v>
      </c>
      <c r="B2" t="s">
        <v>4</v>
      </c>
      <c r="C2" t="s">
        <v>48</v>
      </c>
      <c r="D2" s="8">
        <v>45926</v>
      </c>
      <c r="E2" t="s">
        <v>259</v>
      </c>
      <c r="F2" t="s">
        <v>260</v>
      </c>
      <c r="G2" t="s">
        <v>261</v>
      </c>
      <c r="H2" s="9">
        <v>488.67</v>
      </c>
      <c r="I2" t="s">
        <v>262</v>
      </c>
    </row>
    <row r="3" spans="1:9">
      <c r="A3" t="s">
        <v>263</v>
      </c>
      <c r="B3" t="s">
        <v>6</v>
      </c>
      <c r="C3" t="s">
        <v>63</v>
      </c>
      <c r="D3" s="8">
        <v>45822</v>
      </c>
      <c r="E3" t="s">
        <v>264</v>
      </c>
      <c r="F3" t="s">
        <v>265</v>
      </c>
      <c r="G3" t="s">
        <v>261</v>
      </c>
      <c r="H3" s="9">
        <v>604.44000000000005</v>
      </c>
      <c r="I3" t="s">
        <v>262</v>
      </c>
    </row>
    <row r="4" spans="1:9">
      <c r="A4" t="s">
        <v>266</v>
      </c>
      <c r="B4" t="s">
        <v>4</v>
      </c>
      <c r="C4" t="s">
        <v>57</v>
      </c>
      <c r="D4" s="8">
        <v>46001</v>
      </c>
      <c r="E4" t="s">
        <v>259</v>
      </c>
      <c r="F4" t="s">
        <v>260</v>
      </c>
      <c r="G4" t="s">
        <v>267</v>
      </c>
      <c r="H4" s="9">
        <v>458.46</v>
      </c>
      <c r="I4" t="s">
        <v>262</v>
      </c>
    </row>
    <row r="5" spans="1:9">
      <c r="A5" t="s">
        <v>268</v>
      </c>
      <c r="B5" t="s">
        <v>6</v>
      </c>
      <c r="C5" t="s">
        <v>70</v>
      </c>
      <c r="D5" s="8">
        <v>45905</v>
      </c>
      <c r="E5" t="s">
        <v>269</v>
      </c>
      <c r="F5" t="s">
        <v>270</v>
      </c>
      <c r="G5" t="s">
        <v>271</v>
      </c>
      <c r="H5" s="9">
        <v>457.33</v>
      </c>
      <c r="I5" t="s">
        <v>262</v>
      </c>
    </row>
    <row r="6" spans="1:9">
      <c r="A6" t="s">
        <v>272</v>
      </c>
      <c r="B6" t="s">
        <v>4</v>
      </c>
      <c r="C6" t="s">
        <v>61</v>
      </c>
      <c r="D6" s="8">
        <v>45949</v>
      </c>
      <c r="E6" t="s">
        <v>273</v>
      </c>
      <c r="F6" t="s">
        <v>274</v>
      </c>
      <c r="G6" t="s">
        <v>271</v>
      </c>
      <c r="H6" s="9">
        <v>390.06</v>
      </c>
      <c r="I6" t="s">
        <v>262</v>
      </c>
    </row>
    <row r="7" spans="1:9">
      <c r="A7" t="s">
        <v>275</v>
      </c>
      <c r="B7" t="s">
        <v>6</v>
      </c>
      <c r="C7" t="s">
        <v>70</v>
      </c>
      <c r="D7" s="8">
        <v>45761</v>
      </c>
      <c r="E7" t="s">
        <v>259</v>
      </c>
      <c r="F7" t="s">
        <v>260</v>
      </c>
      <c r="G7" t="s">
        <v>276</v>
      </c>
      <c r="H7" s="9">
        <v>451.46</v>
      </c>
      <c r="I7" t="s">
        <v>262</v>
      </c>
    </row>
    <row r="8" spans="1:9">
      <c r="A8" t="s">
        <v>277</v>
      </c>
      <c r="B8" t="s">
        <v>13</v>
      </c>
      <c r="C8" t="s">
        <v>79</v>
      </c>
      <c r="D8" s="8">
        <v>45968</v>
      </c>
      <c r="E8" t="s">
        <v>259</v>
      </c>
      <c r="F8" t="s">
        <v>260</v>
      </c>
      <c r="G8" t="s">
        <v>271</v>
      </c>
      <c r="H8" s="9">
        <v>531.4</v>
      </c>
      <c r="I8" t="s">
        <v>278</v>
      </c>
    </row>
    <row r="9" spans="1:9">
      <c r="A9" t="s">
        <v>279</v>
      </c>
      <c r="B9" t="s">
        <v>4</v>
      </c>
      <c r="C9" t="s">
        <v>61</v>
      </c>
      <c r="D9" s="8">
        <v>45964</v>
      </c>
      <c r="E9" t="s">
        <v>273</v>
      </c>
      <c r="F9" t="s">
        <v>274</v>
      </c>
      <c r="G9" t="s">
        <v>276</v>
      </c>
      <c r="H9" s="9">
        <v>456.72</v>
      </c>
      <c r="I9" t="s">
        <v>262</v>
      </c>
    </row>
    <row r="10" spans="1:9">
      <c r="A10" t="s">
        <v>280</v>
      </c>
      <c r="B10" t="s">
        <v>4</v>
      </c>
      <c r="C10" t="s">
        <v>55</v>
      </c>
      <c r="D10" s="8">
        <v>45769</v>
      </c>
      <c r="E10" t="s">
        <v>273</v>
      </c>
      <c r="F10" t="s">
        <v>274</v>
      </c>
      <c r="G10" t="s">
        <v>281</v>
      </c>
      <c r="H10" s="9">
        <v>538.77</v>
      </c>
      <c r="I10" t="s">
        <v>262</v>
      </c>
    </row>
    <row r="11" spans="1:9">
      <c r="A11" t="s">
        <v>282</v>
      </c>
      <c r="B11" t="s">
        <v>4</v>
      </c>
      <c r="C11" t="s">
        <v>52</v>
      </c>
      <c r="D11" s="8">
        <v>45763</v>
      </c>
      <c r="E11" t="s">
        <v>259</v>
      </c>
      <c r="F11" t="s">
        <v>260</v>
      </c>
      <c r="G11" t="s">
        <v>283</v>
      </c>
      <c r="H11" s="9">
        <v>336.86</v>
      </c>
      <c r="I11" t="s">
        <v>284</v>
      </c>
    </row>
    <row r="12" spans="1:9">
      <c r="A12" t="s">
        <v>285</v>
      </c>
      <c r="B12" t="s">
        <v>6</v>
      </c>
      <c r="C12" t="s">
        <v>63</v>
      </c>
      <c r="D12" s="8">
        <v>46014</v>
      </c>
      <c r="E12" t="s">
        <v>286</v>
      </c>
      <c r="F12" t="s">
        <v>287</v>
      </c>
      <c r="G12" t="s">
        <v>271</v>
      </c>
      <c r="H12" s="9">
        <v>304.8</v>
      </c>
      <c r="I12" t="s">
        <v>262</v>
      </c>
    </row>
    <row r="13" spans="1:9">
      <c r="A13" t="s">
        <v>288</v>
      </c>
      <c r="B13" t="s">
        <v>4</v>
      </c>
      <c r="C13" t="s">
        <v>48</v>
      </c>
      <c r="D13" s="8">
        <v>45713</v>
      </c>
      <c r="E13" t="s">
        <v>286</v>
      </c>
      <c r="F13" t="s">
        <v>287</v>
      </c>
      <c r="G13" t="s">
        <v>281</v>
      </c>
      <c r="H13" s="9">
        <v>176.13</v>
      </c>
      <c r="I13" t="s">
        <v>278</v>
      </c>
    </row>
    <row r="14" spans="1:9">
      <c r="A14" t="s">
        <v>289</v>
      </c>
      <c r="B14" t="s">
        <v>13</v>
      </c>
      <c r="C14" t="s">
        <v>81</v>
      </c>
      <c r="D14" s="8">
        <v>45871</v>
      </c>
      <c r="E14" t="s">
        <v>259</v>
      </c>
      <c r="F14" t="s">
        <v>260</v>
      </c>
      <c r="G14" t="s">
        <v>281</v>
      </c>
      <c r="H14" s="9">
        <v>602.54999999999995</v>
      </c>
      <c r="I14" t="s">
        <v>262</v>
      </c>
    </row>
    <row r="15" spans="1:9">
      <c r="A15" t="s">
        <v>290</v>
      </c>
      <c r="B15" t="s">
        <v>4</v>
      </c>
      <c r="C15" t="s">
        <v>59</v>
      </c>
      <c r="D15" s="8">
        <v>45891</v>
      </c>
      <c r="E15" t="s">
        <v>259</v>
      </c>
      <c r="F15" t="s">
        <v>260</v>
      </c>
      <c r="G15" t="s">
        <v>276</v>
      </c>
      <c r="H15" s="9">
        <v>417.39</v>
      </c>
      <c r="I15" t="s">
        <v>278</v>
      </c>
    </row>
    <row r="16" spans="1:9">
      <c r="A16" t="s">
        <v>291</v>
      </c>
      <c r="B16" t="s">
        <v>13</v>
      </c>
      <c r="C16" t="s">
        <v>79</v>
      </c>
      <c r="D16" s="8">
        <v>45957</v>
      </c>
      <c r="E16" t="s">
        <v>292</v>
      </c>
      <c r="F16" t="s">
        <v>293</v>
      </c>
      <c r="G16" t="s">
        <v>276</v>
      </c>
      <c r="H16" s="9">
        <v>320.38</v>
      </c>
      <c r="I16" t="s">
        <v>278</v>
      </c>
    </row>
    <row r="17" spans="1:9">
      <c r="A17" t="s">
        <v>294</v>
      </c>
      <c r="B17" t="s">
        <v>13</v>
      </c>
      <c r="C17" t="s">
        <v>79</v>
      </c>
      <c r="D17" s="8">
        <v>45740</v>
      </c>
      <c r="E17" t="s">
        <v>286</v>
      </c>
      <c r="F17" t="s">
        <v>287</v>
      </c>
      <c r="G17" t="s">
        <v>271</v>
      </c>
      <c r="H17" s="9">
        <v>224.04</v>
      </c>
      <c r="I17" t="s">
        <v>262</v>
      </c>
    </row>
    <row r="18" spans="1:9">
      <c r="A18" t="s">
        <v>295</v>
      </c>
      <c r="B18" t="s">
        <v>6</v>
      </c>
      <c r="C18" t="s">
        <v>68</v>
      </c>
      <c r="D18" s="8">
        <v>45916</v>
      </c>
      <c r="E18" t="s">
        <v>292</v>
      </c>
      <c r="F18" t="s">
        <v>293</v>
      </c>
      <c r="G18" t="s">
        <v>281</v>
      </c>
      <c r="H18" s="9">
        <v>232.89</v>
      </c>
      <c r="I18" t="s">
        <v>262</v>
      </c>
    </row>
    <row r="19" spans="1:9">
      <c r="A19" t="s">
        <v>296</v>
      </c>
      <c r="B19" t="s">
        <v>6</v>
      </c>
      <c r="C19" t="s">
        <v>70</v>
      </c>
      <c r="D19" s="8">
        <v>45756</v>
      </c>
      <c r="E19" t="s">
        <v>273</v>
      </c>
      <c r="F19" t="s">
        <v>274</v>
      </c>
      <c r="G19" t="s">
        <v>267</v>
      </c>
      <c r="H19" s="9">
        <v>588.49</v>
      </c>
      <c r="I19" t="s">
        <v>262</v>
      </c>
    </row>
    <row r="20" spans="1:9">
      <c r="A20" t="s">
        <v>297</v>
      </c>
      <c r="B20" t="s">
        <v>4</v>
      </c>
      <c r="C20" t="s">
        <v>59</v>
      </c>
      <c r="D20" s="8">
        <v>45760</v>
      </c>
      <c r="E20" t="s">
        <v>292</v>
      </c>
      <c r="F20" t="s">
        <v>293</v>
      </c>
      <c r="G20" t="s">
        <v>281</v>
      </c>
      <c r="H20" s="9">
        <v>481.19</v>
      </c>
      <c r="I20" t="s">
        <v>262</v>
      </c>
    </row>
    <row r="21" spans="1:9">
      <c r="A21" t="s">
        <v>298</v>
      </c>
      <c r="B21" t="s">
        <v>13</v>
      </c>
      <c r="C21" t="s">
        <v>78</v>
      </c>
      <c r="D21" s="8">
        <v>45826</v>
      </c>
      <c r="E21" t="s">
        <v>286</v>
      </c>
      <c r="F21" t="s">
        <v>287</v>
      </c>
      <c r="G21" t="s">
        <v>271</v>
      </c>
      <c r="H21" s="9">
        <v>110.8</v>
      </c>
      <c r="I21" t="s">
        <v>284</v>
      </c>
    </row>
    <row r="22" spans="1:9">
      <c r="A22" t="s">
        <v>299</v>
      </c>
      <c r="B22" t="s">
        <v>13</v>
      </c>
      <c r="C22" t="s">
        <v>76</v>
      </c>
      <c r="D22" s="8">
        <v>45953</v>
      </c>
      <c r="E22" t="s">
        <v>264</v>
      </c>
      <c r="F22" t="s">
        <v>265</v>
      </c>
      <c r="G22" t="s">
        <v>276</v>
      </c>
      <c r="H22" s="9">
        <v>293.72000000000003</v>
      </c>
      <c r="I22" t="s">
        <v>262</v>
      </c>
    </row>
    <row r="23" spans="1:9">
      <c r="A23" t="s">
        <v>300</v>
      </c>
      <c r="B23" t="s">
        <v>6</v>
      </c>
      <c r="C23" t="s">
        <v>74</v>
      </c>
      <c r="D23" s="8">
        <v>45802</v>
      </c>
      <c r="E23" t="s">
        <v>286</v>
      </c>
      <c r="F23" t="s">
        <v>287</v>
      </c>
      <c r="G23" t="s">
        <v>271</v>
      </c>
      <c r="H23" s="9">
        <v>384.48</v>
      </c>
      <c r="I23" t="s">
        <v>262</v>
      </c>
    </row>
    <row r="24" spans="1:9">
      <c r="A24" t="s">
        <v>301</v>
      </c>
      <c r="B24" t="s">
        <v>6</v>
      </c>
      <c r="C24" t="s">
        <v>66</v>
      </c>
      <c r="D24" s="8">
        <v>45877</v>
      </c>
      <c r="E24" t="s">
        <v>273</v>
      </c>
      <c r="F24" t="s">
        <v>274</v>
      </c>
      <c r="G24" t="s">
        <v>271</v>
      </c>
      <c r="H24" s="9">
        <v>354.24</v>
      </c>
      <c r="I24" t="s">
        <v>262</v>
      </c>
    </row>
    <row r="25" spans="1:9">
      <c r="A25" t="s">
        <v>302</v>
      </c>
      <c r="B25" t="s">
        <v>13</v>
      </c>
      <c r="C25" t="s">
        <v>76</v>
      </c>
      <c r="D25" s="8">
        <v>45997</v>
      </c>
      <c r="E25" t="s">
        <v>286</v>
      </c>
      <c r="F25" t="s">
        <v>287</v>
      </c>
      <c r="G25" t="s">
        <v>281</v>
      </c>
      <c r="H25" s="9">
        <v>638.91999999999996</v>
      </c>
      <c r="I25" t="s">
        <v>262</v>
      </c>
    </row>
    <row r="26" spans="1:9">
      <c r="A26" t="s">
        <v>303</v>
      </c>
      <c r="B26" t="s">
        <v>13</v>
      </c>
      <c r="C26" t="s">
        <v>76</v>
      </c>
      <c r="D26" s="8">
        <v>45949</v>
      </c>
      <c r="E26" t="s">
        <v>292</v>
      </c>
      <c r="F26" t="s">
        <v>293</v>
      </c>
      <c r="G26" t="s">
        <v>283</v>
      </c>
      <c r="H26" s="9">
        <v>123.27</v>
      </c>
      <c r="I26" t="s">
        <v>262</v>
      </c>
    </row>
    <row r="27" spans="1:9">
      <c r="A27" t="s">
        <v>304</v>
      </c>
      <c r="B27" t="s">
        <v>13</v>
      </c>
      <c r="C27" t="s">
        <v>79</v>
      </c>
      <c r="D27" s="8">
        <v>45718</v>
      </c>
      <c r="E27" t="s">
        <v>273</v>
      </c>
      <c r="F27" t="s">
        <v>274</v>
      </c>
      <c r="G27" t="s">
        <v>271</v>
      </c>
      <c r="H27" s="9">
        <v>263.23</v>
      </c>
      <c r="I27" t="s">
        <v>262</v>
      </c>
    </row>
    <row r="28" spans="1:9">
      <c r="A28" t="s">
        <v>305</v>
      </c>
      <c r="B28" t="s">
        <v>6</v>
      </c>
      <c r="C28" t="s">
        <v>72</v>
      </c>
      <c r="D28" s="8">
        <v>45847</v>
      </c>
      <c r="E28" t="s">
        <v>286</v>
      </c>
      <c r="F28" t="s">
        <v>287</v>
      </c>
      <c r="G28" t="s">
        <v>267</v>
      </c>
      <c r="H28" s="9">
        <v>555.07000000000005</v>
      </c>
      <c r="I28" t="s">
        <v>262</v>
      </c>
    </row>
    <row r="29" spans="1:9">
      <c r="A29" t="s">
        <v>306</v>
      </c>
      <c r="B29" t="s">
        <v>13</v>
      </c>
      <c r="C29" t="s">
        <v>82</v>
      </c>
      <c r="D29" s="8">
        <v>45669</v>
      </c>
      <c r="E29" t="s">
        <v>269</v>
      </c>
      <c r="F29" t="s">
        <v>270</v>
      </c>
      <c r="G29" t="s">
        <v>261</v>
      </c>
      <c r="H29" s="9">
        <v>114.46</v>
      </c>
      <c r="I29" t="s">
        <v>278</v>
      </c>
    </row>
    <row r="30" spans="1:9">
      <c r="A30" t="s">
        <v>307</v>
      </c>
      <c r="B30" t="s">
        <v>4</v>
      </c>
      <c r="C30" t="s">
        <v>52</v>
      </c>
      <c r="D30" s="8">
        <v>45665</v>
      </c>
      <c r="E30" t="s">
        <v>269</v>
      </c>
      <c r="F30" t="s">
        <v>270</v>
      </c>
      <c r="G30" t="s">
        <v>283</v>
      </c>
      <c r="H30" s="9">
        <v>432.27</v>
      </c>
      <c r="I30" t="s">
        <v>262</v>
      </c>
    </row>
    <row r="31" spans="1:9">
      <c r="A31" t="s">
        <v>308</v>
      </c>
      <c r="B31" t="s">
        <v>13</v>
      </c>
      <c r="C31" t="s">
        <v>80</v>
      </c>
      <c r="D31" s="8">
        <v>45965</v>
      </c>
      <c r="E31" t="s">
        <v>259</v>
      </c>
      <c r="F31" t="s">
        <v>260</v>
      </c>
      <c r="G31" t="s">
        <v>281</v>
      </c>
      <c r="H31" s="9">
        <v>342.39</v>
      </c>
      <c r="I31" t="s">
        <v>262</v>
      </c>
    </row>
    <row r="32" spans="1:9">
      <c r="A32" t="s">
        <v>309</v>
      </c>
      <c r="B32" t="s">
        <v>6</v>
      </c>
      <c r="C32" t="s">
        <v>74</v>
      </c>
      <c r="D32" s="8">
        <v>45736</v>
      </c>
      <c r="E32" t="s">
        <v>259</v>
      </c>
      <c r="F32" t="s">
        <v>260</v>
      </c>
      <c r="G32" t="s">
        <v>261</v>
      </c>
      <c r="H32" s="9">
        <v>488.06</v>
      </c>
      <c r="I32" t="s">
        <v>284</v>
      </c>
    </row>
    <row r="33" spans="1:9">
      <c r="A33" t="s">
        <v>310</v>
      </c>
      <c r="B33" t="s">
        <v>4</v>
      </c>
      <c r="C33" t="s">
        <v>61</v>
      </c>
      <c r="D33" s="8">
        <v>45781</v>
      </c>
      <c r="E33" t="s">
        <v>259</v>
      </c>
      <c r="F33" t="s">
        <v>260</v>
      </c>
      <c r="G33" t="s">
        <v>283</v>
      </c>
      <c r="H33" s="9">
        <v>609.11</v>
      </c>
      <c r="I33" t="s">
        <v>262</v>
      </c>
    </row>
    <row r="34" spans="1:9">
      <c r="A34" t="s">
        <v>311</v>
      </c>
      <c r="B34" t="s">
        <v>13</v>
      </c>
      <c r="C34" t="s">
        <v>76</v>
      </c>
      <c r="D34" s="8">
        <v>45861</v>
      </c>
      <c r="E34" t="s">
        <v>269</v>
      </c>
      <c r="F34" t="s">
        <v>270</v>
      </c>
      <c r="G34" t="s">
        <v>283</v>
      </c>
      <c r="H34" s="9">
        <v>415.46</v>
      </c>
      <c r="I34" t="s">
        <v>284</v>
      </c>
    </row>
    <row r="35" spans="1:9">
      <c r="A35" t="s">
        <v>312</v>
      </c>
      <c r="B35" t="s">
        <v>6</v>
      </c>
      <c r="C35" t="s">
        <v>66</v>
      </c>
      <c r="D35" s="8">
        <v>45711</v>
      </c>
      <c r="E35" t="s">
        <v>273</v>
      </c>
      <c r="F35" t="s">
        <v>274</v>
      </c>
      <c r="G35" t="s">
        <v>261</v>
      </c>
      <c r="H35" s="9">
        <v>420.24</v>
      </c>
      <c r="I35" t="s">
        <v>262</v>
      </c>
    </row>
    <row r="36" spans="1:9">
      <c r="A36" t="s">
        <v>313</v>
      </c>
      <c r="B36" t="s">
        <v>4</v>
      </c>
      <c r="C36" t="s">
        <v>52</v>
      </c>
      <c r="D36" s="8">
        <v>45826</v>
      </c>
      <c r="E36" t="s">
        <v>286</v>
      </c>
      <c r="F36" t="s">
        <v>287</v>
      </c>
      <c r="G36" t="s">
        <v>261</v>
      </c>
      <c r="H36" s="9">
        <v>288.08</v>
      </c>
      <c r="I36" t="s">
        <v>262</v>
      </c>
    </row>
    <row r="37" spans="1:9">
      <c r="A37" t="s">
        <v>314</v>
      </c>
      <c r="B37" t="s">
        <v>6</v>
      </c>
      <c r="C37" t="s">
        <v>72</v>
      </c>
      <c r="D37" s="8">
        <v>45685</v>
      </c>
      <c r="E37" t="s">
        <v>286</v>
      </c>
      <c r="F37" t="s">
        <v>287</v>
      </c>
      <c r="G37" t="s">
        <v>271</v>
      </c>
      <c r="H37" s="9">
        <v>135.68</v>
      </c>
      <c r="I37" t="s">
        <v>278</v>
      </c>
    </row>
    <row r="38" spans="1:9">
      <c r="A38" t="s">
        <v>315</v>
      </c>
      <c r="B38" t="s">
        <v>13</v>
      </c>
      <c r="C38" t="s">
        <v>79</v>
      </c>
      <c r="D38" s="8">
        <v>45996</v>
      </c>
      <c r="E38" t="s">
        <v>286</v>
      </c>
      <c r="F38" t="s">
        <v>287</v>
      </c>
      <c r="G38" t="s">
        <v>281</v>
      </c>
      <c r="H38" s="9">
        <v>496.93</v>
      </c>
      <c r="I38" t="s">
        <v>278</v>
      </c>
    </row>
    <row r="39" spans="1:9">
      <c r="A39" t="s">
        <v>316</v>
      </c>
      <c r="B39" t="s">
        <v>6</v>
      </c>
      <c r="C39" t="s">
        <v>68</v>
      </c>
      <c r="D39" s="8">
        <v>45956</v>
      </c>
      <c r="E39" t="s">
        <v>259</v>
      </c>
      <c r="F39" t="s">
        <v>260</v>
      </c>
      <c r="G39" t="s">
        <v>271</v>
      </c>
      <c r="H39" s="9">
        <v>342.3</v>
      </c>
      <c r="I39" t="s">
        <v>284</v>
      </c>
    </row>
    <row r="40" spans="1:9">
      <c r="A40" t="s">
        <v>317</v>
      </c>
      <c r="B40" t="s">
        <v>6</v>
      </c>
      <c r="C40" t="s">
        <v>68</v>
      </c>
      <c r="D40" s="8">
        <v>45836</v>
      </c>
      <c r="E40" t="s">
        <v>269</v>
      </c>
      <c r="F40" t="s">
        <v>270</v>
      </c>
      <c r="G40" t="s">
        <v>283</v>
      </c>
      <c r="H40" s="9">
        <v>235.38</v>
      </c>
      <c r="I40" t="s">
        <v>262</v>
      </c>
    </row>
    <row r="41" spans="1:9">
      <c r="A41" t="s">
        <v>318</v>
      </c>
      <c r="B41" t="s">
        <v>13</v>
      </c>
      <c r="C41" t="s">
        <v>79</v>
      </c>
      <c r="D41" s="8">
        <v>45950</v>
      </c>
      <c r="E41" t="s">
        <v>292</v>
      </c>
      <c r="F41" t="s">
        <v>293</v>
      </c>
      <c r="G41" t="s">
        <v>271</v>
      </c>
      <c r="H41" s="9">
        <v>268.43</v>
      </c>
      <c r="I41" t="s">
        <v>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3"/>
  <sheetViews>
    <sheetView workbookViewId="0"/>
  </sheetViews>
  <sheetFormatPr defaultRowHeight="13.8"/>
  <cols>
    <col min="1" max="1" width="11.09765625" customWidth="1"/>
    <col min="2" max="2" width="11.69921875" customWidth="1"/>
    <col min="3" max="4" width="14" customWidth="1"/>
    <col min="5" max="5" width="8.69921875" customWidth="1"/>
    <col min="6" max="6" width="23" customWidth="1"/>
  </cols>
  <sheetData>
    <row r="1" spans="1:6">
      <c r="A1" s="2" t="s">
        <v>319</v>
      </c>
      <c r="B1" s="3" t="s">
        <v>22</v>
      </c>
      <c r="C1" s="3" t="s">
        <v>320</v>
      </c>
      <c r="D1" s="3" t="s">
        <v>321</v>
      </c>
      <c r="E1" s="3" t="s">
        <v>322</v>
      </c>
      <c r="F1" s="4" t="s">
        <v>323</v>
      </c>
    </row>
    <row r="2" spans="1:6">
      <c r="A2" t="s">
        <v>324</v>
      </c>
      <c r="B2" t="s">
        <v>4</v>
      </c>
      <c r="C2" s="8">
        <v>45814</v>
      </c>
      <c r="D2" t="s">
        <v>325</v>
      </c>
      <c r="E2" s="9">
        <v>222.42</v>
      </c>
      <c r="F2" t="s">
        <v>326</v>
      </c>
    </row>
    <row r="3" spans="1:6">
      <c r="A3" t="s">
        <v>327</v>
      </c>
      <c r="B3" t="s">
        <v>4</v>
      </c>
      <c r="C3" s="8">
        <v>45788</v>
      </c>
      <c r="D3" t="s">
        <v>328</v>
      </c>
      <c r="E3" s="9">
        <v>797.08</v>
      </c>
      <c r="F3" t="s">
        <v>329</v>
      </c>
    </row>
    <row r="4" spans="1:6">
      <c r="A4" t="s">
        <v>330</v>
      </c>
      <c r="B4" t="s">
        <v>4</v>
      </c>
      <c r="C4" s="8">
        <v>46000</v>
      </c>
      <c r="D4" t="s">
        <v>331</v>
      </c>
      <c r="E4" s="9">
        <v>48.73</v>
      </c>
      <c r="F4" t="s">
        <v>332</v>
      </c>
    </row>
    <row r="5" spans="1:6">
      <c r="A5" t="s">
        <v>333</v>
      </c>
      <c r="B5" t="s">
        <v>4</v>
      </c>
      <c r="C5" s="8">
        <v>45750</v>
      </c>
      <c r="D5" t="s">
        <v>334</v>
      </c>
      <c r="E5" s="9">
        <v>659.26</v>
      </c>
      <c r="F5" t="s">
        <v>335</v>
      </c>
    </row>
    <row r="6" spans="1:6">
      <c r="A6" t="s">
        <v>336</v>
      </c>
      <c r="B6" t="s">
        <v>4</v>
      </c>
      <c r="C6" s="8">
        <v>45887</v>
      </c>
      <c r="D6" t="s">
        <v>337</v>
      </c>
      <c r="E6" s="9">
        <v>246.68</v>
      </c>
      <c r="F6" t="s">
        <v>338</v>
      </c>
    </row>
    <row r="7" spans="1:6">
      <c r="A7" t="s">
        <v>339</v>
      </c>
      <c r="B7" t="s">
        <v>4</v>
      </c>
      <c r="C7" s="8">
        <v>45890</v>
      </c>
      <c r="D7" t="s">
        <v>340</v>
      </c>
      <c r="E7" s="9">
        <v>462.11</v>
      </c>
      <c r="F7" t="s">
        <v>341</v>
      </c>
    </row>
    <row r="8" spans="1:6">
      <c r="A8" t="s">
        <v>342</v>
      </c>
      <c r="B8" t="s">
        <v>4</v>
      </c>
      <c r="C8" s="8">
        <v>45660</v>
      </c>
      <c r="D8" t="s">
        <v>328</v>
      </c>
      <c r="E8" s="9">
        <v>230.57</v>
      </c>
      <c r="F8" t="s">
        <v>329</v>
      </c>
    </row>
    <row r="9" spans="1:6">
      <c r="A9" t="s">
        <v>343</v>
      </c>
      <c r="B9" t="s">
        <v>4</v>
      </c>
      <c r="C9" s="8">
        <v>45999</v>
      </c>
      <c r="D9" t="s">
        <v>328</v>
      </c>
      <c r="E9" s="9">
        <v>611.01</v>
      </c>
      <c r="F9" t="s">
        <v>329</v>
      </c>
    </row>
    <row r="10" spans="1:6">
      <c r="A10" t="s">
        <v>344</v>
      </c>
      <c r="B10" t="s">
        <v>4</v>
      </c>
      <c r="C10" s="8">
        <v>45824</v>
      </c>
      <c r="D10" t="s">
        <v>331</v>
      </c>
      <c r="E10" s="9">
        <v>496.59</v>
      </c>
      <c r="F10" t="s">
        <v>332</v>
      </c>
    </row>
    <row r="11" spans="1:6">
      <c r="A11" t="s">
        <v>345</v>
      </c>
      <c r="B11" t="s">
        <v>4</v>
      </c>
      <c r="C11" s="8">
        <v>45862</v>
      </c>
      <c r="D11" t="s">
        <v>331</v>
      </c>
      <c r="E11" s="9">
        <v>324.48</v>
      </c>
      <c r="F11" t="s">
        <v>332</v>
      </c>
    </row>
    <row r="12" spans="1:6">
      <c r="A12" t="s">
        <v>346</v>
      </c>
      <c r="B12" t="s">
        <v>4</v>
      </c>
      <c r="C12" s="8">
        <v>46006</v>
      </c>
      <c r="D12" t="s">
        <v>328</v>
      </c>
      <c r="E12" s="9">
        <v>303.7</v>
      </c>
      <c r="F12" t="s">
        <v>329</v>
      </c>
    </row>
    <row r="13" spans="1:6">
      <c r="A13" t="s">
        <v>347</v>
      </c>
      <c r="B13" t="s">
        <v>4</v>
      </c>
      <c r="C13" s="8">
        <v>45751</v>
      </c>
      <c r="D13" t="s">
        <v>340</v>
      </c>
      <c r="E13" s="9">
        <v>205.62</v>
      </c>
      <c r="F13" t="s">
        <v>341</v>
      </c>
    </row>
    <row r="14" spans="1:6">
      <c r="A14" t="s">
        <v>348</v>
      </c>
      <c r="B14" t="s">
        <v>4</v>
      </c>
      <c r="C14" s="8">
        <v>45712</v>
      </c>
      <c r="D14" t="s">
        <v>331</v>
      </c>
      <c r="E14" s="9">
        <v>857.75</v>
      </c>
      <c r="F14" t="s">
        <v>332</v>
      </c>
    </row>
    <row r="15" spans="1:6">
      <c r="A15" t="s">
        <v>349</v>
      </c>
      <c r="B15" t="s">
        <v>4</v>
      </c>
      <c r="C15" s="8">
        <v>45997</v>
      </c>
      <c r="D15" t="s">
        <v>334</v>
      </c>
      <c r="E15" s="9">
        <v>226.09</v>
      </c>
      <c r="F15" t="s">
        <v>335</v>
      </c>
    </row>
    <row r="16" spans="1:6">
      <c r="A16" t="s">
        <v>350</v>
      </c>
      <c r="B16" t="s">
        <v>4</v>
      </c>
      <c r="C16" s="8">
        <v>45878</v>
      </c>
      <c r="D16" t="s">
        <v>340</v>
      </c>
      <c r="E16" s="9">
        <v>547.04</v>
      </c>
      <c r="F16" t="s">
        <v>341</v>
      </c>
    </row>
    <row r="17" spans="1:6">
      <c r="A17" t="s">
        <v>351</v>
      </c>
      <c r="B17" t="s">
        <v>4</v>
      </c>
      <c r="C17" s="8">
        <v>45920</v>
      </c>
      <c r="D17" t="s">
        <v>328</v>
      </c>
      <c r="E17" s="9">
        <v>883.24</v>
      </c>
      <c r="F17" t="s">
        <v>329</v>
      </c>
    </row>
    <row r="18" spans="1:6">
      <c r="A18" t="s">
        <v>352</v>
      </c>
      <c r="B18" t="s">
        <v>4</v>
      </c>
      <c r="C18" s="8">
        <v>45757</v>
      </c>
      <c r="D18" t="s">
        <v>334</v>
      </c>
      <c r="E18" s="9">
        <v>350.36</v>
      </c>
      <c r="F18" t="s">
        <v>335</v>
      </c>
    </row>
    <row r="19" spans="1:6">
      <c r="A19" t="s">
        <v>353</v>
      </c>
      <c r="B19" t="s">
        <v>4</v>
      </c>
      <c r="C19" s="8">
        <v>45778</v>
      </c>
      <c r="D19" t="s">
        <v>340</v>
      </c>
      <c r="E19" s="9">
        <v>499.36</v>
      </c>
      <c r="F19" t="s">
        <v>341</v>
      </c>
    </row>
    <row r="20" spans="1:6">
      <c r="A20" t="s">
        <v>354</v>
      </c>
      <c r="B20" t="s">
        <v>4</v>
      </c>
      <c r="C20" s="8">
        <v>45779</v>
      </c>
      <c r="D20" t="s">
        <v>355</v>
      </c>
      <c r="E20" s="9">
        <v>515.89</v>
      </c>
      <c r="F20" t="s">
        <v>356</v>
      </c>
    </row>
    <row r="21" spans="1:6">
      <c r="A21" t="s">
        <v>357</v>
      </c>
      <c r="B21" t="s">
        <v>4</v>
      </c>
      <c r="C21" s="8">
        <v>45996</v>
      </c>
      <c r="D21" t="s">
        <v>340</v>
      </c>
      <c r="E21" s="9">
        <v>786.88</v>
      </c>
      <c r="F21" t="s">
        <v>341</v>
      </c>
    </row>
    <row r="22" spans="1:6">
      <c r="A22" t="s">
        <v>358</v>
      </c>
      <c r="B22" t="s">
        <v>4</v>
      </c>
      <c r="C22" s="8">
        <v>45873</v>
      </c>
      <c r="D22" t="s">
        <v>337</v>
      </c>
      <c r="E22" s="9">
        <v>50.55</v>
      </c>
      <c r="F22" t="s">
        <v>338</v>
      </c>
    </row>
    <row r="23" spans="1:6">
      <c r="A23" t="s">
        <v>359</v>
      </c>
      <c r="B23" t="s">
        <v>4</v>
      </c>
      <c r="C23" s="8">
        <v>45793</v>
      </c>
      <c r="D23" t="s">
        <v>325</v>
      </c>
      <c r="E23" s="9">
        <v>418.8</v>
      </c>
      <c r="F23" t="s">
        <v>326</v>
      </c>
    </row>
    <row r="24" spans="1:6">
      <c r="A24" t="s">
        <v>360</v>
      </c>
      <c r="B24" t="s">
        <v>4</v>
      </c>
      <c r="C24" s="8">
        <v>45718</v>
      </c>
      <c r="D24" t="s">
        <v>328</v>
      </c>
      <c r="E24" s="9">
        <v>849.31</v>
      </c>
      <c r="F24" t="s">
        <v>329</v>
      </c>
    </row>
    <row r="25" spans="1:6">
      <c r="A25" t="s">
        <v>361</v>
      </c>
      <c r="B25" t="s">
        <v>4</v>
      </c>
      <c r="C25" s="8">
        <v>45873</v>
      </c>
      <c r="D25" t="s">
        <v>337</v>
      </c>
      <c r="E25" s="9">
        <v>96.2</v>
      </c>
      <c r="F25" t="s">
        <v>338</v>
      </c>
    </row>
    <row r="26" spans="1:6">
      <c r="A26" t="s">
        <v>362</v>
      </c>
      <c r="B26" t="s">
        <v>6</v>
      </c>
      <c r="C26" s="8">
        <v>45872</v>
      </c>
      <c r="D26" t="s">
        <v>331</v>
      </c>
      <c r="E26" s="9">
        <v>581.32000000000005</v>
      </c>
      <c r="F26" t="s">
        <v>332</v>
      </c>
    </row>
    <row r="27" spans="1:6">
      <c r="A27" t="s">
        <v>363</v>
      </c>
      <c r="B27" t="s">
        <v>6</v>
      </c>
      <c r="C27" s="8">
        <v>45662</v>
      </c>
      <c r="D27" t="s">
        <v>334</v>
      </c>
      <c r="E27" s="9">
        <v>737.58</v>
      </c>
      <c r="F27" t="s">
        <v>335</v>
      </c>
    </row>
    <row r="28" spans="1:6">
      <c r="A28" t="s">
        <v>364</v>
      </c>
      <c r="B28" t="s">
        <v>6</v>
      </c>
      <c r="C28" s="8">
        <v>45780</v>
      </c>
      <c r="D28" t="s">
        <v>334</v>
      </c>
      <c r="E28" s="9">
        <v>141.87</v>
      </c>
      <c r="F28" t="s">
        <v>335</v>
      </c>
    </row>
    <row r="29" spans="1:6">
      <c r="A29" t="s">
        <v>365</v>
      </c>
      <c r="B29" t="s">
        <v>6</v>
      </c>
      <c r="C29" s="8">
        <v>45858</v>
      </c>
      <c r="D29" t="s">
        <v>331</v>
      </c>
      <c r="E29" s="9">
        <v>720.04</v>
      </c>
      <c r="F29" t="s">
        <v>332</v>
      </c>
    </row>
    <row r="30" spans="1:6">
      <c r="A30" t="s">
        <v>366</v>
      </c>
      <c r="B30" t="s">
        <v>6</v>
      </c>
      <c r="C30" s="8">
        <v>45772</v>
      </c>
      <c r="D30" t="s">
        <v>331</v>
      </c>
      <c r="E30" s="9">
        <v>367.13</v>
      </c>
      <c r="F30" t="s">
        <v>332</v>
      </c>
    </row>
    <row r="31" spans="1:6">
      <c r="A31" t="s">
        <v>367</v>
      </c>
      <c r="B31" t="s">
        <v>6</v>
      </c>
      <c r="C31" s="8">
        <v>45879</v>
      </c>
      <c r="D31" t="s">
        <v>337</v>
      </c>
      <c r="E31" s="9">
        <v>546.13</v>
      </c>
      <c r="F31" t="s">
        <v>338</v>
      </c>
    </row>
    <row r="32" spans="1:6">
      <c r="A32" t="s">
        <v>368</v>
      </c>
      <c r="B32" t="s">
        <v>6</v>
      </c>
      <c r="C32" s="8">
        <v>45848</v>
      </c>
      <c r="D32" t="s">
        <v>331</v>
      </c>
      <c r="E32" s="9">
        <v>574.08000000000004</v>
      </c>
      <c r="F32" t="s">
        <v>332</v>
      </c>
    </row>
    <row r="33" spans="1:6">
      <c r="A33" t="s">
        <v>369</v>
      </c>
      <c r="B33" t="s">
        <v>6</v>
      </c>
      <c r="C33" s="8">
        <v>45954</v>
      </c>
      <c r="D33" t="s">
        <v>355</v>
      </c>
      <c r="E33" s="9">
        <v>854.93</v>
      </c>
      <c r="F33" t="s">
        <v>356</v>
      </c>
    </row>
    <row r="34" spans="1:6">
      <c r="A34" t="s">
        <v>370</v>
      </c>
      <c r="B34" t="s">
        <v>6</v>
      </c>
      <c r="C34" s="8">
        <v>45768</v>
      </c>
      <c r="D34" t="s">
        <v>334</v>
      </c>
      <c r="E34" s="9">
        <v>267.60000000000002</v>
      </c>
      <c r="F34" t="s">
        <v>335</v>
      </c>
    </row>
    <row r="35" spans="1:6">
      <c r="A35" t="s">
        <v>371</v>
      </c>
      <c r="B35" t="s">
        <v>6</v>
      </c>
      <c r="C35" s="8">
        <v>45694</v>
      </c>
      <c r="D35" t="s">
        <v>334</v>
      </c>
      <c r="E35" s="9">
        <v>189.48</v>
      </c>
      <c r="F35" t="s">
        <v>335</v>
      </c>
    </row>
    <row r="36" spans="1:6">
      <c r="A36" t="s">
        <v>372</v>
      </c>
      <c r="B36" t="s">
        <v>6</v>
      </c>
      <c r="C36" s="8">
        <v>45694</v>
      </c>
      <c r="D36" t="s">
        <v>355</v>
      </c>
      <c r="E36" s="9">
        <v>391.33</v>
      </c>
      <c r="F36" t="s">
        <v>356</v>
      </c>
    </row>
    <row r="37" spans="1:6">
      <c r="A37" t="s">
        <v>373</v>
      </c>
      <c r="B37" t="s">
        <v>6</v>
      </c>
      <c r="C37" s="8">
        <v>46011</v>
      </c>
      <c r="D37" t="s">
        <v>325</v>
      </c>
      <c r="E37" s="9">
        <v>290.48</v>
      </c>
      <c r="F37" t="s">
        <v>326</v>
      </c>
    </row>
    <row r="38" spans="1:6">
      <c r="A38" t="s">
        <v>374</v>
      </c>
      <c r="B38" t="s">
        <v>6</v>
      </c>
      <c r="C38" s="8">
        <v>45757</v>
      </c>
      <c r="D38" t="s">
        <v>340</v>
      </c>
      <c r="E38" s="9">
        <v>283.14</v>
      </c>
      <c r="F38" t="s">
        <v>341</v>
      </c>
    </row>
    <row r="39" spans="1:6">
      <c r="A39" t="s">
        <v>375</v>
      </c>
      <c r="B39" t="s">
        <v>6</v>
      </c>
      <c r="C39" s="8">
        <v>45872</v>
      </c>
      <c r="D39" t="s">
        <v>340</v>
      </c>
      <c r="E39" s="9">
        <v>240.74</v>
      </c>
      <c r="F39" t="s">
        <v>341</v>
      </c>
    </row>
    <row r="40" spans="1:6">
      <c r="A40" t="s">
        <v>376</v>
      </c>
      <c r="B40" t="s">
        <v>6</v>
      </c>
      <c r="C40" s="8">
        <v>45803</v>
      </c>
      <c r="D40" t="s">
        <v>337</v>
      </c>
      <c r="E40" s="9">
        <v>577.54999999999995</v>
      </c>
      <c r="F40" t="s">
        <v>338</v>
      </c>
    </row>
    <row r="41" spans="1:6">
      <c r="A41" t="s">
        <v>377</v>
      </c>
      <c r="B41" t="s">
        <v>6</v>
      </c>
      <c r="C41" s="8">
        <v>45987</v>
      </c>
      <c r="D41" t="s">
        <v>334</v>
      </c>
      <c r="E41" s="9">
        <v>405.62</v>
      </c>
      <c r="F41" t="s">
        <v>335</v>
      </c>
    </row>
    <row r="42" spans="1:6">
      <c r="A42" t="s">
        <v>378</v>
      </c>
      <c r="B42" t="s">
        <v>6</v>
      </c>
      <c r="C42" s="8">
        <v>45908</v>
      </c>
      <c r="D42" t="s">
        <v>340</v>
      </c>
      <c r="E42" s="9">
        <v>168.13</v>
      </c>
      <c r="F42" t="s">
        <v>341</v>
      </c>
    </row>
    <row r="43" spans="1:6">
      <c r="A43" t="s">
        <v>379</v>
      </c>
      <c r="B43" t="s">
        <v>6</v>
      </c>
      <c r="C43" s="8">
        <v>45804</v>
      </c>
      <c r="D43" t="s">
        <v>334</v>
      </c>
      <c r="E43" s="9">
        <v>101.41</v>
      </c>
      <c r="F43" t="s">
        <v>335</v>
      </c>
    </row>
    <row r="44" spans="1:6">
      <c r="A44" t="s">
        <v>380</v>
      </c>
      <c r="B44" t="s">
        <v>6</v>
      </c>
      <c r="C44" s="8">
        <v>45742</v>
      </c>
      <c r="D44" t="s">
        <v>328</v>
      </c>
      <c r="E44" s="9">
        <v>551.74</v>
      </c>
      <c r="F44" t="s">
        <v>329</v>
      </c>
    </row>
    <row r="45" spans="1:6">
      <c r="A45" t="s">
        <v>381</v>
      </c>
      <c r="B45" t="s">
        <v>6</v>
      </c>
      <c r="C45" s="8">
        <v>45940</v>
      </c>
      <c r="D45" t="s">
        <v>325</v>
      </c>
      <c r="E45" s="9">
        <v>146.94</v>
      </c>
      <c r="F45" t="s">
        <v>326</v>
      </c>
    </row>
    <row r="46" spans="1:6">
      <c r="A46" t="s">
        <v>382</v>
      </c>
      <c r="B46" t="s">
        <v>6</v>
      </c>
      <c r="C46" s="8">
        <v>46001</v>
      </c>
      <c r="D46" t="s">
        <v>340</v>
      </c>
      <c r="E46" s="9">
        <v>386.16</v>
      </c>
      <c r="F46" t="s">
        <v>341</v>
      </c>
    </row>
    <row r="47" spans="1:6">
      <c r="A47" t="s">
        <v>383</v>
      </c>
      <c r="B47" t="s">
        <v>6</v>
      </c>
      <c r="C47" s="8">
        <v>45794</v>
      </c>
      <c r="D47" t="s">
        <v>331</v>
      </c>
      <c r="E47" s="9">
        <v>464.66</v>
      </c>
      <c r="F47" t="s">
        <v>332</v>
      </c>
    </row>
    <row r="48" spans="1:6">
      <c r="A48" t="s">
        <v>384</v>
      </c>
      <c r="B48" t="s">
        <v>6</v>
      </c>
      <c r="C48" s="8">
        <v>45708</v>
      </c>
      <c r="D48" t="s">
        <v>355</v>
      </c>
      <c r="E48" s="9">
        <v>804.9</v>
      </c>
      <c r="F48" t="s">
        <v>356</v>
      </c>
    </row>
    <row r="49" spans="1:6">
      <c r="A49" t="s">
        <v>385</v>
      </c>
      <c r="B49" t="s">
        <v>6</v>
      </c>
      <c r="C49" s="8">
        <v>46002</v>
      </c>
      <c r="D49" t="s">
        <v>331</v>
      </c>
      <c r="E49" s="9">
        <v>255.32</v>
      </c>
      <c r="F49" t="s">
        <v>332</v>
      </c>
    </row>
    <row r="50" spans="1:6">
      <c r="A50" t="s">
        <v>386</v>
      </c>
      <c r="B50" t="s">
        <v>13</v>
      </c>
      <c r="C50" s="8">
        <v>45696</v>
      </c>
      <c r="D50" t="s">
        <v>340</v>
      </c>
      <c r="E50" s="9">
        <v>758.92</v>
      </c>
      <c r="F50" t="s">
        <v>341</v>
      </c>
    </row>
    <row r="51" spans="1:6">
      <c r="A51" t="s">
        <v>387</v>
      </c>
      <c r="B51" t="s">
        <v>13</v>
      </c>
      <c r="C51" s="8">
        <v>45949</v>
      </c>
      <c r="D51" t="s">
        <v>355</v>
      </c>
      <c r="E51" s="9">
        <v>899.63</v>
      </c>
      <c r="F51" t="s">
        <v>356</v>
      </c>
    </row>
    <row r="52" spans="1:6">
      <c r="A52" t="s">
        <v>388</v>
      </c>
      <c r="B52" t="s">
        <v>13</v>
      </c>
      <c r="C52" s="8">
        <v>45988</v>
      </c>
      <c r="D52" t="s">
        <v>328</v>
      </c>
      <c r="E52" s="9">
        <v>535.57000000000005</v>
      </c>
      <c r="F52" t="s">
        <v>329</v>
      </c>
    </row>
    <row r="53" spans="1:6">
      <c r="A53" t="s">
        <v>389</v>
      </c>
      <c r="B53" t="s">
        <v>13</v>
      </c>
      <c r="C53" s="8">
        <v>45732</v>
      </c>
      <c r="D53" t="s">
        <v>331</v>
      </c>
      <c r="E53" s="9">
        <v>600.29999999999995</v>
      </c>
      <c r="F53" t="s">
        <v>332</v>
      </c>
    </row>
    <row r="54" spans="1:6">
      <c r="A54" t="s">
        <v>390</v>
      </c>
      <c r="B54" t="s">
        <v>13</v>
      </c>
      <c r="C54" s="8">
        <v>45783</v>
      </c>
      <c r="D54" t="s">
        <v>331</v>
      </c>
      <c r="E54" s="9">
        <v>414.86</v>
      </c>
      <c r="F54" t="s">
        <v>332</v>
      </c>
    </row>
    <row r="55" spans="1:6">
      <c r="A55" t="s">
        <v>391</v>
      </c>
      <c r="B55" t="s">
        <v>13</v>
      </c>
      <c r="C55" s="8">
        <v>45872</v>
      </c>
      <c r="D55" t="s">
        <v>325</v>
      </c>
      <c r="E55" s="9">
        <v>339.25</v>
      </c>
      <c r="F55" t="s">
        <v>326</v>
      </c>
    </row>
    <row r="56" spans="1:6">
      <c r="A56" t="s">
        <v>392</v>
      </c>
      <c r="B56" t="s">
        <v>13</v>
      </c>
      <c r="C56" s="8">
        <v>45819</v>
      </c>
      <c r="D56" t="s">
        <v>340</v>
      </c>
      <c r="E56" s="9">
        <v>129.96</v>
      </c>
      <c r="F56" t="s">
        <v>341</v>
      </c>
    </row>
    <row r="57" spans="1:6">
      <c r="A57" t="s">
        <v>393</v>
      </c>
      <c r="B57" t="s">
        <v>13</v>
      </c>
      <c r="C57" s="8">
        <v>45727</v>
      </c>
      <c r="D57" t="s">
        <v>325</v>
      </c>
      <c r="E57" s="9">
        <v>636.55999999999995</v>
      </c>
      <c r="F57" t="s">
        <v>326</v>
      </c>
    </row>
    <row r="58" spans="1:6">
      <c r="A58" t="s">
        <v>394</v>
      </c>
      <c r="B58" t="s">
        <v>13</v>
      </c>
      <c r="C58" s="8">
        <v>45799</v>
      </c>
      <c r="D58" t="s">
        <v>325</v>
      </c>
      <c r="E58" s="9">
        <v>739.67</v>
      </c>
      <c r="F58" t="s">
        <v>326</v>
      </c>
    </row>
    <row r="59" spans="1:6">
      <c r="A59" t="s">
        <v>395</v>
      </c>
      <c r="B59" t="s">
        <v>13</v>
      </c>
      <c r="C59" s="8">
        <v>45902</v>
      </c>
      <c r="D59" t="s">
        <v>325</v>
      </c>
      <c r="E59" s="9">
        <v>115.73</v>
      </c>
      <c r="F59" t="s">
        <v>326</v>
      </c>
    </row>
    <row r="60" spans="1:6">
      <c r="A60" t="s">
        <v>396</v>
      </c>
      <c r="B60" t="s">
        <v>13</v>
      </c>
      <c r="C60" s="8">
        <v>45788</v>
      </c>
      <c r="D60" t="s">
        <v>355</v>
      </c>
      <c r="E60" s="9">
        <v>874.36</v>
      </c>
      <c r="F60" t="s">
        <v>356</v>
      </c>
    </row>
    <row r="61" spans="1:6">
      <c r="A61" t="s">
        <v>397</v>
      </c>
      <c r="B61" t="s">
        <v>13</v>
      </c>
      <c r="C61" s="8">
        <v>45866</v>
      </c>
      <c r="D61" t="s">
        <v>331</v>
      </c>
      <c r="E61" s="9">
        <v>749.44</v>
      </c>
      <c r="F61" t="s">
        <v>332</v>
      </c>
    </row>
    <row r="62" spans="1:6">
      <c r="A62" t="s">
        <v>398</v>
      </c>
      <c r="B62" t="s">
        <v>13</v>
      </c>
      <c r="C62" s="8">
        <v>45679</v>
      </c>
      <c r="D62" t="s">
        <v>337</v>
      </c>
      <c r="E62" s="9">
        <v>506.63</v>
      </c>
      <c r="F62" t="s">
        <v>338</v>
      </c>
    </row>
    <row r="63" spans="1:6">
      <c r="A63" t="s">
        <v>399</v>
      </c>
      <c r="B63" t="s">
        <v>13</v>
      </c>
      <c r="C63" s="8">
        <v>45840</v>
      </c>
      <c r="D63" t="s">
        <v>334</v>
      </c>
      <c r="E63" s="9">
        <v>485.86</v>
      </c>
      <c r="F63" t="s">
        <v>335</v>
      </c>
    </row>
    <row r="64" spans="1:6">
      <c r="A64" t="s">
        <v>400</v>
      </c>
      <c r="B64" t="s">
        <v>13</v>
      </c>
      <c r="C64" s="8">
        <v>45955</v>
      </c>
      <c r="D64" t="s">
        <v>325</v>
      </c>
      <c r="E64" s="9">
        <v>577.85</v>
      </c>
      <c r="F64" t="s">
        <v>326</v>
      </c>
    </row>
    <row r="65" spans="1:6">
      <c r="A65" t="s">
        <v>401</v>
      </c>
      <c r="B65" t="s">
        <v>13</v>
      </c>
      <c r="C65" s="8">
        <v>45664</v>
      </c>
      <c r="D65" t="s">
        <v>328</v>
      </c>
      <c r="E65" s="9">
        <v>512.33000000000004</v>
      </c>
      <c r="F65" t="s">
        <v>329</v>
      </c>
    </row>
    <row r="66" spans="1:6">
      <c r="A66" t="s">
        <v>402</v>
      </c>
      <c r="B66" t="s">
        <v>13</v>
      </c>
      <c r="C66" s="8">
        <v>45792</v>
      </c>
      <c r="D66" t="s">
        <v>340</v>
      </c>
      <c r="E66" s="9">
        <v>456.85</v>
      </c>
      <c r="F66" t="s">
        <v>341</v>
      </c>
    </row>
    <row r="67" spans="1:6">
      <c r="A67" t="s">
        <v>403</v>
      </c>
      <c r="B67" t="s">
        <v>13</v>
      </c>
      <c r="C67" s="8">
        <v>45678</v>
      </c>
      <c r="D67" t="s">
        <v>331</v>
      </c>
      <c r="E67" s="9">
        <v>727.41</v>
      </c>
      <c r="F67" t="s">
        <v>332</v>
      </c>
    </row>
    <row r="68" spans="1:6">
      <c r="A68" t="s">
        <v>404</v>
      </c>
      <c r="B68" t="s">
        <v>13</v>
      </c>
      <c r="C68" s="8">
        <v>45997</v>
      </c>
      <c r="D68" t="s">
        <v>328</v>
      </c>
      <c r="E68" s="9">
        <v>513.72</v>
      </c>
      <c r="F68" t="s">
        <v>329</v>
      </c>
    </row>
    <row r="69" spans="1:6">
      <c r="A69" t="s">
        <v>405</v>
      </c>
      <c r="B69" t="s">
        <v>13</v>
      </c>
      <c r="C69" s="8">
        <v>45914</v>
      </c>
      <c r="D69" t="s">
        <v>355</v>
      </c>
      <c r="E69" s="9">
        <v>233.24</v>
      </c>
      <c r="F69" t="s">
        <v>356</v>
      </c>
    </row>
    <row r="70" spans="1:6">
      <c r="A70" t="s">
        <v>406</v>
      </c>
      <c r="B70" t="s">
        <v>13</v>
      </c>
      <c r="C70" s="8">
        <v>45703</v>
      </c>
      <c r="D70" t="s">
        <v>355</v>
      </c>
      <c r="E70" s="9">
        <v>597.03</v>
      </c>
      <c r="F70" t="s">
        <v>356</v>
      </c>
    </row>
    <row r="71" spans="1:6">
      <c r="A71" t="s">
        <v>407</v>
      </c>
      <c r="B71" t="s">
        <v>13</v>
      </c>
      <c r="C71" s="8">
        <v>45732</v>
      </c>
      <c r="D71" t="s">
        <v>340</v>
      </c>
      <c r="E71" s="9">
        <v>291</v>
      </c>
      <c r="F71" t="s">
        <v>341</v>
      </c>
    </row>
    <row r="72" spans="1:6">
      <c r="A72" t="s">
        <v>408</v>
      </c>
      <c r="B72" t="s">
        <v>13</v>
      </c>
      <c r="C72" s="8">
        <v>46000</v>
      </c>
      <c r="D72" t="s">
        <v>325</v>
      </c>
      <c r="E72" s="9">
        <v>757.86</v>
      </c>
      <c r="F72" t="s">
        <v>326</v>
      </c>
    </row>
    <row r="73" spans="1:6">
      <c r="A73" t="s">
        <v>409</v>
      </c>
      <c r="B73" t="s">
        <v>13</v>
      </c>
      <c r="C73" s="8">
        <v>45877</v>
      </c>
      <c r="D73" t="s">
        <v>325</v>
      </c>
      <c r="E73" s="9">
        <v>514.09</v>
      </c>
      <c r="F7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Properties</vt:lpstr>
      <vt:lpstr>Units</vt:lpstr>
      <vt:lpstr>Tenants</vt:lpstr>
      <vt:lpstr>RentPayments</vt:lpstr>
      <vt:lpstr>Maintenance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Stovall</cp:lastModifiedBy>
  <dcterms:created xsi:type="dcterms:W3CDTF">2026-04-02T17:47:58Z</dcterms:created>
  <dcterms:modified xsi:type="dcterms:W3CDTF">2026-04-02T18:03:30Z</dcterms:modified>
</cp:coreProperties>
</file>